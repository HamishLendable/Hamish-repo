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Loan build-up" sheetId="2" state="visible" r:id="rId2"/>
    <sheet xmlns:r="http://schemas.openxmlformats.org/officeDocument/2006/relationships" name="Projec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"/>
    <numFmt numFmtId="165" formatCode="yyyy-mm-dd"/>
    <numFmt numFmtId="166" formatCode="mmm yyyy"/>
    <numFmt numFmtId="167" formatCode="£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2514E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1E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10" fontId="0" fillId="2" borderId="0" pivotButton="0" quotePrefix="0" xfId="0"/>
    <xf numFmtId="166" fontId="0" fillId="2" borderId="0" pivotButton="0" quotePrefix="0" xfId="0"/>
    <xf numFmtId="1" fontId="0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0" fontId="4" fillId="3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Loan balance to the April 2056 write-off</a:t>
            </a:r>
          </a:p>
        </rich>
      </tx>
    </title>
    <plotArea>
      <lineChart>
        <grouping val="standard"/>
        <ser>
          <idx val="0"/>
          <order val="0"/>
          <tx>
            <strRef>
              <f>Summary!$B$10</f>
            </strRef>
          </tx>
          <spPr>
            <a:ln xmlns:a="http://schemas.openxmlformats.org/drawingml/2006/main" w="25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'Projection'!$A$2:$A$361</f>
            </numRef>
          </cat>
          <val>
            <numRef>
              <f>'Projection'!$K$2:$K$361</f>
            </numRef>
          </val>
          <smooth val="0"/>
        </ser>
        <ser>
          <idx val="1"/>
          <order val="1"/>
          <tx>
            <strRef>
              <f>Summary!$C$10</f>
            </strRef>
          </tx>
          <spPr>
            <a:ln xmlns:a="http://schemas.openxmlformats.org/drawingml/2006/main" w="250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'Projection'!$A$2:$A$361</f>
            </numRef>
          </cat>
          <val>
            <numRef>
              <f>'Projection'!$O$2:$O$361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 £</a:t>
                </a:r>
              </a:p>
            </rich>
          </tx>
        </title>
        <numFmt formatCode="£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0" customWidth="1" min="3" max="3"/>
    <col width="44" customWidth="1" min="4" max="4"/>
  </cols>
  <sheetData>
    <row r="1">
      <c r="A1" s="1" t="inlineStr">
        <is>
          <t>Student loan model — Plan 2 (England)</t>
        </is>
      </c>
    </row>
    <row r="2">
      <c r="A2" s="2" t="inlineStr">
        <is>
          <t>Yellow cells are inputs — change them and everything recalculates. Figures pre-filled from GOV.UK / SLC / DfE for a Sept 2021 starter.</t>
        </is>
      </c>
    </row>
    <row r="4">
      <c r="A4" s="3" t="inlineStr">
        <is>
          <t>Your situation</t>
        </is>
      </c>
    </row>
    <row r="5">
      <c r="A5" t="inlineStr">
        <is>
          <t>Current salary (gross £/yr)</t>
        </is>
      </c>
      <c r="B5" s="4" t="n">
        <v>48000</v>
      </c>
      <c r="C5" s="2" t="inlineStr">
        <is>
          <t>Used for the 9%-above-threshold repayment and the interest-rate taper.</t>
        </is>
      </c>
    </row>
    <row r="6">
      <c r="A6" t="inlineStr">
        <is>
          <t>Salary growth (per year, each April)</t>
        </is>
      </c>
      <c r="B6" s="5" t="n">
        <v>0.03</v>
      </c>
      <c r="C6" s="2" t="inlineStr">
        <is>
          <t>Applied every April from April 2027.</t>
        </is>
      </c>
    </row>
    <row r="7">
      <c r="A7" t="inlineStr">
        <is>
          <t>Voluntary overpayment (£/month)</t>
        </is>
      </c>
      <c r="B7" s="4" t="n">
        <v>0</v>
      </c>
      <c r="C7" s="2" t="inlineStr">
        <is>
          <t>Extra you choose to pay monthly, on top of the mandatory amount.</t>
        </is>
      </c>
    </row>
    <row r="8">
      <c r="A8" t="inlineStr">
        <is>
          <t>One-off lump sum (£)</t>
        </is>
      </c>
      <c r="B8" s="4" t="n">
        <v>0</v>
      </c>
      <c r="C8" s="2" t="inlineStr">
        <is>
          <t>A single extra payment, made in the month below.</t>
        </is>
      </c>
    </row>
    <row r="9">
      <c r="A9" t="inlineStr">
        <is>
          <t>Lump sum month</t>
        </is>
      </c>
      <c r="B9" s="6" t="n">
        <v>46388</v>
      </c>
    </row>
    <row r="10">
      <c r="A10" t="inlineStr">
        <is>
          <t>Known balance override (£)</t>
        </is>
      </c>
      <c r="B10" s="4" t="n"/>
      <c r="C10" s="2" t="inlineStr">
        <is>
          <t>Optional: your actual balance from your SLC account. Leave blank to use the reconstructed figure. Treated as your balance at April 2026.</t>
        </is>
      </c>
    </row>
    <row r="12">
      <c r="A12" s="3" t="inlineStr">
        <is>
          <t>Policy assumptions</t>
        </is>
      </c>
    </row>
    <row r="13">
      <c r="A13" t="inlineStr">
        <is>
          <t>RPI for interest year Sep 2025 – Aug 2026</t>
        </is>
      </c>
      <c r="B13" s="5" t="n">
        <v>0.032</v>
      </c>
      <c r="C13" s="2" t="inlineStr">
        <is>
          <t>March 2025 RPI. Sets the rate for Apr–Aug 2026.</t>
        </is>
      </c>
    </row>
    <row r="14">
      <c r="A14" t="inlineStr">
        <is>
          <t>RPI for interest year Sep 2026 – Aug 2027</t>
        </is>
      </c>
      <c r="B14" s="5" t="n">
        <v>0.041</v>
      </c>
      <c r="C14" s="2" t="inlineStr">
        <is>
          <t>March 2026 RPI (ONS).</t>
        </is>
      </c>
    </row>
    <row r="15">
      <c r="A15" t="inlineStr">
        <is>
          <t>Long-run RPI assumption (from Sep 2027)</t>
        </is>
      </c>
      <c r="B15" s="5" t="n">
        <v>0.03</v>
      </c>
      <c r="C15" s="2" t="inlineStr">
        <is>
          <t>Your guess for average future inflation.</t>
        </is>
      </c>
    </row>
    <row r="16">
      <c r="A16" t="inlineStr">
        <is>
          <t>Interest cap Sep 2026 – Aug 2027</t>
        </is>
      </c>
      <c r="B16" s="5" t="n">
        <v>0.06</v>
      </c>
      <c r="C16" s="2" t="inlineStr">
        <is>
          <t>Government capped Plan 2 interest at 6% for 2026/27.</t>
        </is>
      </c>
    </row>
    <row r="17">
      <c r="A17" t="inlineStr">
        <is>
          <t>Long-run interest cap</t>
        </is>
      </c>
      <c r="B17" s="5" t="n">
        <v>1</v>
      </c>
      <c r="C17" s="2" t="inlineStr">
        <is>
          <t>100% = no cap. Lower it to model future caps.</t>
        </is>
      </c>
    </row>
    <row r="18">
      <c r="A18" t="inlineStr">
        <is>
          <t>Repayment threshold, 2026-27 (£/yr)</t>
        </is>
      </c>
      <c r="B18" s="4" t="n">
        <v>29385</v>
      </c>
      <c r="C18" s="2" t="inlineStr">
        <is>
          <t>You repay 9% of income above this. Also the floor of the interest taper.</t>
        </is>
      </c>
    </row>
    <row r="19">
      <c r="A19" t="inlineStr">
        <is>
          <t>Upper interest threshold, 2026-27 (£/yr)</t>
        </is>
      </c>
      <c r="B19" s="4" t="n">
        <v>52885</v>
      </c>
      <c r="C19" s="2" t="inlineStr">
        <is>
          <t>Income at which interest reaches RPI+3%.</t>
        </is>
      </c>
    </row>
    <row r="20">
      <c r="A20" t="inlineStr">
        <is>
          <t>Thresholds frozen until April</t>
        </is>
      </c>
      <c r="B20" s="7" t="n">
        <v>2030</v>
      </c>
      <c r="C20" s="2" t="inlineStr">
        <is>
          <t>Autumn Budget 2025 froze the threshold to end of tax year 2029-30.</t>
        </is>
      </c>
    </row>
    <row r="21">
      <c r="A21" t="inlineStr">
        <is>
          <t>Threshold growth after the freeze (per yr)</t>
        </is>
      </c>
      <c r="B21" s="5" t="n">
        <v>0.03</v>
      </c>
      <c r="C21" s="2" t="inlineStr">
        <is>
          <t>Applied to both thresholds every April from the year above.</t>
        </is>
      </c>
    </row>
    <row r="23">
      <c r="A23" s="3" t="inlineStr">
        <is>
          <t>What you borrowed</t>
        </is>
      </c>
    </row>
    <row r="24">
      <c r="A24" s="8" t="inlineStr">
        <is>
          <t>Academic year</t>
        </is>
      </c>
      <c r="B24" s="8" t="inlineStr">
        <is>
          <t>Fee loan £</t>
        </is>
      </c>
      <c r="C24" s="8" t="inlineStr">
        <is>
          <t>Maintenance £</t>
        </is>
      </c>
      <c r="D24" s="8" t="inlineStr">
        <is>
          <t>Note</t>
        </is>
      </c>
    </row>
    <row r="25">
      <c r="A25" t="inlineStr">
        <is>
          <t>2021/22</t>
        </is>
      </c>
      <c r="B25" s="4" t="n">
        <v>9250</v>
      </c>
      <c r="C25" s="4" t="n">
        <v>4422</v>
      </c>
      <c r="D25" s="2" t="inlineStr">
        <is>
          <t>away from home outside London, base rate</t>
        </is>
      </c>
    </row>
    <row r="26">
      <c r="A26" t="inlineStr">
        <is>
          <t>2022/23</t>
        </is>
      </c>
      <c r="B26" s="4" t="n">
        <v>9250</v>
      </c>
      <c r="C26" s="4" t="n">
        <v>4524</v>
      </c>
      <c r="D26" s="2" t="inlineStr">
        <is>
          <t>away from home outside London, base rate</t>
        </is>
      </c>
    </row>
    <row r="27">
      <c r="A27" t="inlineStr">
        <is>
          <t>2023/24 (year abroad)</t>
        </is>
      </c>
      <c r="B27" s="4" t="n">
        <v>1000</v>
      </c>
      <c r="C27" s="4" t="n">
        <v>5524</v>
      </c>
      <c r="D27" s="2" t="inlineStr">
        <is>
          <t>your stated fee; overseas base maintenance rate</t>
        </is>
      </c>
    </row>
    <row r="28">
      <c r="A28" t="inlineStr">
        <is>
          <t>2024/25 (final year)</t>
        </is>
      </c>
      <c r="B28" s="4" t="n">
        <v>9250</v>
      </c>
      <c r="C28" s="4" t="n">
        <v>4432</v>
      </c>
      <c r="D28" s="2" t="inlineStr">
        <is>
          <t>final-year maintenance rate is slightly lower</t>
        </is>
      </c>
    </row>
    <row r="29">
      <c r="A29" s="9" t="inlineStr">
        <is>
          <t>Total borrowed</t>
        </is>
      </c>
      <c r="B29" s="10">
        <f>SUM(B25:B28)</f>
        <v/>
      </c>
      <c r="C29" s="10">
        <f>SUM(C25:C28)</f>
        <v/>
      </c>
      <c r="D29" s="10">
        <f>B29+C29</f>
        <v/>
      </c>
    </row>
    <row r="31">
      <c r="A31" s="3" t="inlineStr">
        <is>
          <t>Historical Plan 2 interest rates (the rate actually charged)</t>
        </is>
      </c>
    </row>
    <row r="32">
      <c r="A32" s="8" t="inlineStr">
        <is>
          <t>Applies from</t>
        </is>
      </c>
      <c r="B32" s="8" t="inlineStr">
        <is>
          <t>Annual rate</t>
        </is>
      </c>
    </row>
    <row r="33">
      <c r="A33" s="11" t="n">
        <v>44440</v>
      </c>
      <c r="B33" s="5" t="n">
        <v>0.042</v>
      </c>
    </row>
    <row r="34">
      <c r="A34" s="11" t="n">
        <v>44470</v>
      </c>
      <c r="B34" s="5" t="n">
        <v>0.041</v>
      </c>
    </row>
    <row r="35">
      <c r="A35" s="11" t="n">
        <v>44562</v>
      </c>
      <c r="B35" s="5" t="n">
        <v>0.044</v>
      </c>
    </row>
    <row r="36">
      <c r="A36" s="11" t="n">
        <v>44621</v>
      </c>
      <c r="B36" s="5" t="n">
        <v>0.045</v>
      </c>
    </row>
    <row r="37">
      <c r="A37" s="11" t="n">
        <v>44805</v>
      </c>
      <c r="B37" s="5" t="n">
        <v>0.063</v>
      </c>
    </row>
    <row r="38">
      <c r="A38" s="11" t="n">
        <v>44896</v>
      </c>
      <c r="B38" s="5" t="n">
        <v>0.065</v>
      </c>
    </row>
    <row r="39">
      <c r="A39" s="11" t="n">
        <v>44986</v>
      </c>
      <c r="B39" s="5" t="n">
        <v>0.06900000000000001</v>
      </c>
    </row>
    <row r="40">
      <c r="A40" s="11" t="n">
        <v>45078</v>
      </c>
      <c r="B40" s="5" t="n">
        <v>0.07099999999999999</v>
      </c>
    </row>
    <row r="41">
      <c r="A41" s="11" t="n">
        <v>45170</v>
      </c>
      <c r="B41" s="5" t="n">
        <v>0.073</v>
      </c>
    </row>
    <row r="42">
      <c r="A42" s="11" t="n">
        <v>45261</v>
      </c>
      <c r="B42" s="5" t="n">
        <v>0.075</v>
      </c>
    </row>
    <row r="43">
      <c r="A43" s="11" t="n">
        <v>45292</v>
      </c>
      <c r="B43" s="5" t="n">
        <v>0.076</v>
      </c>
    </row>
    <row r="44">
      <c r="A44" s="11" t="n">
        <v>45352</v>
      </c>
      <c r="B44" s="5" t="n">
        <v>0.077</v>
      </c>
    </row>
    <row r="45">
      <c r="A45" s="11" t="n">
        <v>45383</v>
      </c>
      <c r="B45" s="5" t="n">
        <v>0.078</v>
      </c>
    </row>
    <row r="46">
      <c r="A46" s="11" t="n">
        <v>45444</v>
      </c>
      <c r="B46" s="5" t="n">
        <v>0.079</v>
      </c>
    </row>
    <row r="47">
      <c r="A47" s="11" t="n">
        <v>45505</v>
      </c>
      <c r="B47" s="5" t="n">
        <v>0.08</v>
      </c>
    </row>
    <row r="48">
      <c r="A48" s="11" t="n">
        <v>45536</v>
      </c>
      <c r="B48" s="5" t="n">
        <v>0.073</v>
      </c>
    </row>
    <row r="49">
      <c r="A49" s="11" t="n">
        <v>45901</v>
      </c>
      <c r="B49" s="5" t="n">
        <v>0.062</v>
      </c>
    </row>
    <row r="51">
      <c r="A51" s="3" t="inlineStr">
        <is>
          <t>Future interest years (derived — edit via the cells above)</t>
        </is>
      </c>
    </row>
    <row r="52">
      <c r="A52" s="8" t="inlineStr">
        <is>
          <t>Applies from</t>
        </is>
      </c>
      <c r="B52" s="8" t="inlineStr">
        <is>
          <t>RPI</t>
        </is>
      </c>
      <c r="C52" s="8" t="inlineStr">
        <is>
          <t>Cap</t>
        </is>
      </c>
    </row>
    <row r="53">
      <c r="A53" s="11" t="n">
        <v>46113</v>
      </c>
      <c r="B53" s="12">
        <f>B13</f>
        <v/>
      </c>
      <c r="C53" s="12" t="n">
        <v>1</v>
      </c>
    </row>
    <row r="54">
      <c r="A54" s="11" t="n">
        <v>46266</v>
      </c>
      <c r="B54" s="12">
        <f>B14</f>
        <v/>
      </c>
      <c r="C54" s="12">
        <f>B16</f>
        <v/>
      </c>
    </row>
    <row r="55">
      <c r="A55" s="11" t="n">
        <v>46631</v>
      </c>
      <c r="B55" s="12">
        <f>B15</f>
        <v/>
      </c>
      <c r="C55" s="12">
        <f>B17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4" customWidth="1" min="5" max="5"/>
    <col width="34" customWidth="1" min="7" max="7"/>
    <col width="14" customWidth="1" min="8" max="8"/>
  </cols>
  <sheetData>
    <row r="1">
      <c r="A1" s="8" t="inlineStr">
        <is>
          <t>Month</t>
        </is>
      </c>
      <c r="B1" s="8" t="inlineStr">
        <is>
          <t>Money drawn down £</t>
        </is>
      </c>
      <c r="C1" s="8" t="inlineStr">
        <is>
          <t>Annual interest rate</t>
        </is>
      </c>
      <c r="D1" s="8" t="inlineStr">
        <is>
          <t>Interest added £</t>
        </is>
      </c>
      <c r="E1" s="8" t="inlineStr">
        <is>
          <t>Balance £</t>
        </is>
      </c>
      <c r="G1" s="9" t="inlineStr">
        <is>
          <t>How this sheet works</t>
        </is>
      </c>
    </row>
    <row r="2">
      <c r="A2" s="11" t="n">
        <v>44440</v>
      </c>
      <c r="B2" s="13">
        <f>Inputs!$C$25/3</f>
        <v/>
      </c>
      <c r="C2" s="12">
        <f>VLOOKUP(A2,Inputs!$A$33:$B$49,2,TRUE)</f>
        <v/>
      </c>
      <c r="D2" s="13">
        <f>0*C2/12</f>
        <v/>
      </c>
      <c r="E2" s="13">
        <f>0+D2+B2</f>
        <v/>
      </c>
      <c r="G2" s="2" t="inlineStr">
        <is>
          <t>Maintenance arrives in three termly instalments (Sep / Jan / Apr); the fee loan is paid to the university termly (Oct 25%, Feb 25%, May 50%). Interest compounds monthly at the historical rate. The final balance feeds the Projection sheet.</t>
        </is>
      </c>
    </row>
    <row r="3">
      <c r="A3" s="11" t="n">
        <v>44470</v>
      </c>
      <c r="B3" s="13">
        <f>Inputs!$B$25*0.25</f>
        <v/>
      </c>
      <c r="C3" s="12">
        <f>VLOOKUP(A3,Inputs!$A$33:$B$49,2,TRUE)</f>
        <v/>
      </c>
      <c r="D3" s="13">
        <f>E2*C3/12</f>
        <v/>
      </c>
      <c r="E3" s="13">
        <f>E2+D3+B3</f>
        <v/>
      </c>
    </row>
    <row r="4">
      <c r="A4" s="11" t="n">
        <v>44501</v>
      </c>
      <c r="B4" s="13" t="n">
        <v>0</v>
      </c>
      <c r="C4" s="12">
        <f>VLOOKUP(A4,Inputs!$A$33:$B$49,2,TRUE)</f>
        <v/>
      </c>
      <c r="D4" s="13">
        <f>E3*C4/12</f>
        <v/>
      </c>
      <c r="E4" s="13">
        <f>E3+D4+B4</f>
        <v/>
      </c>
      <c r="G4" s="9" t="inlineStr">
        <is>
          <t>Reconstructed balance at April 2026:</t>
        </is>
      </c>
      <c r="H4" s="10">
        <f>E56</f>
        <v/>
      </c>
    </row>
    <row r="5">
      <c r="A5" s="11" t="n">
        <v>44531</v>
      </c>
      <c r="B5" s="13" t="n">
        <v>0</v>
      </c>
      <c r="C5" s="12">
        <f>VLOOKUP(A5,Inputs!$A$33:$B$49,2,TRUE)</f>
        <v/>
      </c>
      <c r="D5" s="13">
        <f>E4*C5/12</f>
        <v/>
      </c>
      <c r="E5" s="13">
        <f>E4+D5+B5</f>
        <v/>
      </c>
    </row>
    <row r="6">
      <c r="A6" s="11" t="n">
        <v>44562</v>
      </c>
      <c r="B6" s="13">
        <f>Inputs!$C$25/3</f>
        <v/>
      </c>
      <c r="C6" s="12">
        <f>VLOOKUP(A6,Inputs!$A$33:$B$49,2,TRUE)</f>
        <v/>
      </c>
      <c r="D6" s="13">
        <f>E5*C6/12</f>
        <v/>
      </c>
      <c r="E6" s="13">
        <f>E5+D6+B6</f>
        <v/>
      </c>
    </row>
    <row r="7">
      <c r="A7" s="11" t="n">
        <v>44593</v>
      </c>
      <c r="B7" s="13">
        <f>Inputs!$B$25*0.25</f>
        <v/>
      </c>
      <c r="C7" s="12">
        <f>VLOOKUP(A7,Inputs!$A$33:$B$49,2,TRUE)</f>
        <v/>
      </c>
      <c r="D7" s="13">
        <f>E6*C7/12</f>
        <v/>
      </c>
      <c r="E7" s="13">
        <f>E6+D7+B7</f>
        <v/>
      </c>
    </row>
    <row r="8">
      <c r="A8" s="11" t="n">
        <v>44621</v>
      </c>
      <c r="B8" s="13" t="n">
        <v>0</v>
      </c>
      <c r="C8" s="12">
        <f>VLOOKUP(A8,Inputs!$A$33:$B$49,2,TRUE)</f>
        <v/>
      </c>
      <c r="D8" s="13">
        <f>E7*C8/12</f>
        <v/>
      </c>
      <c r="E8" s="13">
        <f>E7+D8+B8</f>
        <v/>
      </c>
    </row>
    <row r="9">
      <c r="A9" s="11" t="n">
        <v>44652</v>
      </c>
      <c r="B9" s="13">
        <f>Inputs!$C$25/3</f>
        <v/>
      </c>
      <c r="C9" s="12">
        <f>VLOOKUP(A9,Inputs!$A$33:$B$49,2,TRUE)</f>
        <v/>
      </c>
      <c r="D9" s="13">
        <f>E8*C9/12</f>
        <v/>
      </c>
      <c r="E9" s="13">
        <f>E8+D9+B9</f>
        <v/>
      </c>
    </row>
    <row r="10">
      <c r="A10" s="11" t="n">
        <v>44682</v>
      </c>
      <c r="B10" s="13">
        <f>Inputs!$B$25*0.5</f>
        <v/>
      </c>
      <c r="C10" s="12">
        <f>VLOOKUP(A10,Inputs!$A$33:$B$49,2,TRUE)</f>
        <v/>
      </c>
      <c r="D10" s="13">
        <f>E9*C10/12</f>
        <v/>
      </c>
      <c r="E10" s="13">
        <f>E9+D10+B10</f>
        <v/>
      </c>
    </row>
    <row r="11">
      <c r="A11" s="11" t="n">
        <v>44713</v>
      </c>
      <c r="B11" s="13" t="n">
        <v>0</v>
      </c>
      <c r="C11" s="12">
        <f>VLOOKUP(A11,Inputs!$A$33:$B$49,2,TRUE)</f>
        <v/>
      </c>
      <c r="D11" s="13">
        <f>E10*C11/12</f>
        <v/>
      </c>
      <c r="E11" s="13">
        <f>E10+D11+B11</f>
        <v/>
      </c>
    </row>
    <row r="12">
      <c r="A12" s="11" t="n">
        <v>44743</v>
      </c>
      <c r="B12" s="13" t="n">
        <v>0</v>
      </c>
      <c r="C12" s="12">
        <f>VLOOKUP(A12,Inputs!$A$33:$B$49,2,TRUE)</f>
        <v/>
      </c>
      <c r="D12" s="13">
        <f>E11*C12/12</f>
        <v/>
      </c>
      <c r="E12" s="13">
        <f>E11+D12+B12</f>
        <v/>
      </c>
    </row>
    <row r="13">
      <c r="A13" s="11" t="n">
        <v>44774</v>
      </c>
      <c r="B13" s="13" t="n">
        <v>0</v>
      </c>
      <c r="C13" s="12">
        <f>VLOOKUP(A13,Inputs!$A$33:$B$49,2,TRUE)</f>
        <v/>
      </c>
      <c r="D13" s="13">
        <f>E12*C13/12</f>
        <v/>
      </c>
      <c r="E13" s="13">
        <f>E12+D13+B13</f>
        <v/>
      </c>
    </row>
    <row r="14">
      <c r="A14" s="11" t="n">
        <v>44805</v>
      </c>
      <c r="B14" s="13">
        <f>Inputs!$C$26/3</f>
        <v/>
      </c>
      <c r="C14" s="12">
        <f>VLOOKUP(A14,Inputs!$A$33:$B$49,2,TRUE)</f>
        <v/>
      </c>
      <c r="D14" s="13">
        <f>E13*C14/12</f>
        <v/>
      </c>
      <c r="E14" s="13">
        <f>E13+D14+B14</f>
        <v/>
      </c>
    </row>
    <row r="15">
      <c r="A15" s="11" t="n">
        <v>44835</v>
      </c>
      <c r="B15" s="13">
        <f>Inputs!$B$26*0.25</f>
        <v/>
      </c>
      <c r="C15" s="12">
        <f>VLOOKUP(A15,Inputs!$A$33:$B$49,2,TRUE)</f>
        <v/>
      </c>
      <c r="D15" s="13">
        <f>E14*C15/12</f>
        <v/>
      </c>
      <c r="E15" s="13">
        <f>E14+D15+B15</f>
        <v/>
      </c>
    </row>
    <row r="16">
      <c r="A16" s="11" t="n">
        <v>44866</v>
      </c>
      <c r="B16" s="13" t="n">
        <v>0</v>
      </c>
      <c r="C16" s="12">
        <f>VLOOKUP(A16,Inputs!$A$33:$B$49,2,TRUE)</f>
        <v/>
      </c>
      <c r="D16" s="13">
        <f>E15*C16/12</f>
        <v/>
      </c>
      <c r="E16" s="13">
        <f>E15+D16+B16</f>
        <v/>
      </c>
    </row>
    <row r="17">
      <c r="A17" s="11" t="n">
        <v>44896</v>
      </c>
      <c r="B17" s="13" t="n">
        <v>0</v>
      </c>
      <c r="C17" s="12">
        <f>VLOOKUP(A17,Inputs!$A$33:$B$49,2,TRUE)</f>
        <v/>
      </c>
      <c r="D17" s="13">
        <f>E16*C17/12</f>
        <v/>
      </c>
      <c r="E17" s="13">
        <f>E16+D17+B17</f>
        <v/>
      </c>
    </row>
    <row r="18">
      <c r="A18" s="11" t="n">
        <v>44927</v>
      </c>
      <c r="B18" s="13">
        <f>Inputs!$C$26/3</f>
        <v/>
      </c>
      <c r="C18" s="12">
        <f>VLOOKUP(A18,Inputs!$A$33:$B$49,2,TRUE)</f>
        <v/>
      </c>
      <c r="D18" s="13">
        <f>E17*C18/12</f>
        <v/>
      </c>
      <c r="E18" s="13">
        <f>E17+D18+B18</f>
        <v/>
      </c>
    </row>
    <row r="19">
      <c r="A19" s="11" t="n">
        <v>44958</v>
      </c>
      <c r="B19" s="13">
        <f>Inputs!$B$26*0.25</f>
        <v/>
      </c>
      <c r="C19" s="12">
        <f>VLOOKUP(A19,Inputs!$A$33:$B$49,2,TRUE)</f>
        <v/>
      </c>
      <c r="D19" s="13">
        <f>E18*C19/12</f>
        <v/>
      </c>
      <c r="E19" s="13">
        <f>E18+D19+B19</f>
        <v/>
      </c>
    </row>
    <row r="20">
      <c r="A20" s="11" t="n">
        <v>44986</v>
      </c>
      <c r="B20" s="13" t="n">
        <v>0</v>
      </c>
      <c r="C20" s="12">
        <f>VLOOKUP(A20,Inputs!$A$33:$B$49,2,TRUE)</f>
        <v/>
      </c>
      <c r="D20" s="13">
        <f>E19*C20/12</f>
        <v/>
      </c>
      <c r="E20" s="13">
        <f>E19+D20+B20</f>
        <v/>
      </c>
    </row>
    <row r="21">
      <c r="A21" s="11" t="n">
        <v>45017</v>
      </c>
      <c r="B21" s="13">
        <f>Inputs!$C$26/3</f>
        <v/>
      </c>
      <c r="C21" s="12">
        <f>VLOOKUP(A21,Inputs!$A$33:$B$49,2,TRUE)</f>
        <v/>
      </c>
      <c r="D21" s="13">
        <f>E20*C21/12</f>
        <v/>
      </c>
      <c r="E21" s="13">
        <f>E20+D21+B21</f>
        <v/>
      </c>
    </row>
    <row r="22">
      <c r="A22" s="11" t="n">
        <v>45047</v>
      </c>
      <c r="B22" s="13">
        <f>Inputs!$B$26*0.5</f>
        <v/>
      </c>
      <c r="C22" s="12">
        <f>VLOOKUP(A22,Inputs!$A$33:$B$49,2,TRUE)</f>
        <v/>
      </c>
      <c r="D22" s="13">
        <f>E21*C22/12</f>
        <v/>
      </c>
      <c r="E22" s="13">
        <f>E21+D22+B22</f>
        <v/>
      </c>
    </row>
    <row r="23">
      <c r="A23" s="11" t="n">
        <v>45078</v>
      </c>
      <c r="B23" s="13" t="n">
        <v>0</v>
      </c>
      <c r="C23" s="12">
        <f>VLOOKUP(A23,Inputs!$A$33:$B$49,2,TRUE)</f>
        <v/>
      </c>
      <c r="D23" s="13">
        <f>E22*C23/12</f>
        <v/>
      </c>
      <c r="E23" s="13">
        <f>E22+D23+B23</f>
        <v/>
      </c>
    </row>
    <row r="24">
      <c r="A24" s="11" t="n">
        <v>45108</v>
      </c>
      <c r="B24" s="13" t="n">
        <v>0</v>
      </c>
      <c r="C24" s="12">
        <f>VLOOKUP(A24,Inputs!$A$33:$B$49,2,TRUE)</f>
        <v/>
      </c>
      <c r="D24" s="13">
        <f>E23*C24/12</f>
        <v/>
      </c>
      <c r="E24" s="13">
        <f>E23+D24+B24</f>
        <v/>
      </c>
    </row>
    <row r="25">
      <c r="A25" s="11" t="n">
        <v>45139</v>
      </c>
      <c r="B25" s="13" t="n">
        <v>0</v>
      </c>
      <c r="C25" s="12">
        <f>VLOOKUP(A25,Inputs!$A$33:$B$49,2,TRUE)</f>
        <v/>
      </c>
      <c r="D25" s="13">
        <f>E24*C25/12</f>
        <v/>
      </c>
      <c r="E25" s="13">
        <f>E24+D25+B25</f>
        <v/>
      </c>
    </row>
    <row r="26">
      <c r="A26" s="11" t="n">
        <v>45170</v>
      </c>
      <c r="B26" s="13">
        <f>Inputs!$C$27/3</f>
        <v/>
      </c>
      <c r="C26" s="12">
        <f>VLOOKUP(A26,Inputs!$A$33:$B$49,2,TRUE)</f>
        <v/>
      </c>
      <c r="D26" s="13">
        <f>E25*C26/12</f>
        <v/>
      </c>
      <c r="E26" s="13">
        <f>E25+D26+B26</f>
        <v/>
      </c>
    </row>
    <row r="27">
      <c r="A27" s="11" t="n">
        <v>45200</v>
      </c>
      <c r="B27" s="13">
        <f>Inputs!$B$27*0.25</f>
        <v/>
      </c>
      <c r="C27" s="12">
        <f>VLOOKUP(A27,Inputs!$A$33:$B$49,2,TRUE)</f>
        <v/>
      </c>
      <c r="D27" s="13">
        <f>E26*C27/12</f>
        <v/>
      </c>
      <c r="E27" s="13">
        <f>E26+D27+B27</f>
        <v/>
      </c>
    </row>
    <row r="28">
      <c r="A28" s="11" t="n">
        <v>45231</v>
      </c>
      <c r="B28" s="13" t="n">
        <v>0</v>
      </c>
      <c r="C28" s="12">
        <f>VLOOKUP(A28,Inputs!$A$33:$B$49,2,TRUE)</f>
        <v/>
      </c>
      <c r="D28" s="13">
        <f>E27*C28/12</f>
        <v/>
      </c>
      <c r="E28" s="13">
        <f>E27+D28+B28</f>
        <v/>
      </c>
    </row>
    <row r="29">
      <c r="A29" s="11" t="n">
        <v>45261</v>
      </c>
      <c r="B29" s="13" t="n">
        <v>0</v>
      </c>
      <c r="C29" s="12">
        <f>VLOOKUP(A29,Inputs!$A$33:$B$49,2,TRUE)</f>
        <v/>
      </c>
      <c r="D29" s="13">
        <f>E28*C29/12</f>
        <v/>
      </c>
      <c r="E29" s="13">
        <f>E28+D29+B29</f>
        <v/>
      </c>
    </row>
    <row r="30">
      <c r="A30" s="11" t="n">
        <v>45292</v>
      </c>
      <c r="B30" s="13">
        <f>Inputs!$C$27/3</f>
        <v/>
      </c>
      <c r="C30" s="12">
        <f>VLOOKUP(A30,Inputs!$A$33:$B$49,2,TRUE)</f>
        <v/>
      </c>
      <c r="D30" s="13">
        <f>E29*C30/12</f>
        <v/>
      </c>
      <c r="E30" s="13">
        <f>E29+D30+B30</f>
        <v/>
      </c>
    </row>
    <row r="31">
      <c r="A31" s="11" t="n">
        <v>45323</v>
      </c>
      <c r="B31" s="13">
        <f>Inputs!$B$27*0.25</f>
        <v/>
      </c>
      <c r="C31" s="12">
        <f>VLOOKUP(A31,Inputs!$A$33:$B$49,2,TRUE)</f>
        <v/>
      </c>
      <c r="D31" s="13">
        <f>E30*C31/12</f>
        <v/>
      </c>
      <c r="E31" s="13">
        <f>E30+D31+B31</f>
        <v/>
      </c>
    </row>
    <row r="32">
      <c r="A32" s="11" t="n">
        <v>45352</v>
      </c>
      <c r="B32" s="13" t="n">
        <v>0</v>
      </c>
      <c r="C32" s="12">
        <f>VLOOKUP(A32,Inputs!$A$33:$B$49,2,TRUE)</f>
        <v/>
      </c>
      <c r="D32" s="13">
        <f>E31*C32/12</f>
        <v/>
      </c>
      <c r="E32" s="13">
        <f>E31+D32+B32</f>
        <v/>
      </c>
    </row>
    <row r="33">
      <c r="A33" s="11" t="n">
        <v>45383</v>
      </c>
      <c r="B33" s="13">
        <f>Inputs!$C$27/3</f>
        <v/>
      </c>
      <c r="C33" s="12">
        <f>VLOOKUP(A33,Inputs!$A$33:$B$49,2,TRUE)</f>
        <v/>
      </c>
      <c r="D33" s="13">
        <f>E32*C33/12</f>
        <v/>
      </c>
      <c r="E33" s="13">
        <f>E32+D33+B33</f>
        <v/>
      </c>
    </row>
    <row r="34">
      <c r="A34" s="11" t="n">
        <v>45413</v>
      </c>
      <c r="B34" s="13">
        <f>Inputs!$B$27*0.5</f>
        <v/>
      </c>
      <c r="C34" s="12">
        <f>VLOOKUP(A34,Inputs!$A$33:$B$49,2,TRUE)</f>
        <v/>
      </c>
      <c r="D34" s="13">
        <f>E33*C34/12</f>
        <v/>
      </c>
      <c r="E34" s="13">
        <f>E33+D34+B34</f>
        <v/>
      </c>
    </row>
    <row r="35">
      <c r="A35" s="11" t="n">
        <v>45444</v>
      </c>
      <c r="B35" s="13" t="n">
        <v>0</v>
      </c>
      <c r="C35" s="12">
        <f>VLOOKUP(A35,Inputs!$A$33:$B$49,2,TRUE)</f>
        <v/>
      </c>
      <c r="D35" s="13">
        <f>E34*C35/12</f>
        <v/>
      </c>
      <c r="E35" s="13">
        <f>E34+D35+B35</f>
        <v/>
      </c>
    </row>
    <row r="36">
      <c r="A36" s="11" t="n">
        <v>45474</v>
      </c>
      <c r="B36" s="13" t="n">
        <v>0</v>
      </c>
      <c r="C36" s="12">
        <f>VLOOKUP(A36,Inputs!$A$33:$B$49,2,TRUE)</f>
        <v/>
      </c>
      <c r="D36" s="13">
        <f>E35*C36/12</f>
        <v/>
      </c>
      <c r="E36" s="13">
        <f>E35+D36+B36</f>
        <v/>
      </c>
    </row>
    <row r="37">
      <c r="A37" s="11" t="n">
        <v>45505</v>
      </c>
      <c r="B37" s="13" t="n">
        <v>0</v>
      </c>
      <c r="C37" s="12">
        <f>VLOOKUP(A37,Inputs!$A$33:$B$49,2,TRUE)</f>
        <v/>
      </c>
      <c r="D37" s="13">
        <f>E36*C37/12</f>
        <v/>
      </c>
      <c r="E37" s="13">
        <f>E36+D37+B37</f>
        <v/>
      </c>
    </row>
    <row r="38">
      <c r="A38" s="11" t="n">
        <v>45536</v>
      </c>
      <c r="B38" s="13">
        <f>Inputs!$C$28/3</f>
        <v/>
      </c>
      <c r="C38" s="12">
        <f>VLOOKUP(A38,Inputs!$A$33:$B$49,2,TRUE)</f>
        <v/>
      </c>
      <c r="D38" s="13">
        <f>E37*C38/12</f>
        <v/>
      </c>
      <c r="E38" s="13">
        <f>E37+D38+B38</f>
        <v/>
      </c>
    </row>
    <row r="39">
      <c r="A39" s="11" t="n">
        <v>45566</v>
      </c>
      <c r="B39" s="13">
        <f>Inputs!$B$28*0.25</f>
        <v/>
      </c>
      <c r="C39" s="12">
        <f>VLOOKUP(A39,Inputs!$A$33:$B$49,2,TRUE)</f>
        <v/>
      </c>
      <c r="D39" s="13">
        <f>E38*C39/12</f>
        <v/>
      </c>
      <c r="E39" s="13">
        <f>E38+D39+B39</f>
        <v/>
      </c>
    </row>
    <row r="40">
      <c r="A40" s="11" t="n">
        <v>45597</v>
      </c>
      <c r="B40" s="13" t="n">
        <v>0</v>
      </c>
      <c r="C40" s="12">
        <f>VLOOKUP(A40,Inputs!$A$33:$B$49,2,TRUE)</f>
        <v/>
      </c>
      <c r="D40" s="13">
        <f>E39*C40/12</f>
        <v/>
      </c>
      <c r="E40" s="13">
        <f>E39+D40+B40</f>
        <v/>
      </c>
    </row>
    <row r="41">
      <c r="A41" s="11" t="n">
        <v>45627</v>
      </c>
      <c r="B41" s="13" t="n">
        <v>0</v>
      </c>
      <c r="C41" s="12">
        <f>VLOOKUP(A41,Inputs!$A$33:$B$49,2,TRUE)</f>
        <v/>
      </c>
      <c r="D41" s="13">
        <f>E40*C41/12</f>
        <v/>
      </c>
      <c r="E41" s="13">
        <f>E40+D41+B41</f>
        <v/>
      </c>
    </row>
    <row r="42">
      <c r="A42" s="11" t="n">
        <v>45658</v>
      </c>
      <c r="B42" s="13">
        <f>Inputs!$C$28/3</f>
        <v/>
      </c>
      <c r="C42" s="12">
        <f>VLOOKUP(A42,Inputs!$A$33:$B$49,2,TRUE)</f>
        <v/>
      </c>
      <c r="D42" s="13">
        <f>E41*C42/12</f>
        <v/>
      </c>
      <c r="E42" s="13">
        <f>E41+D42+B42</f>
        <v/>
      </c>
    </row>
    <row r="43">
      <c r="A43" s="11" t="n">
        <v>45689</v>
      </c>
      <c r="B43" s="13">
        <f>Inputs!$B$28*0.25</f>
        <v/>
      </c>
      <c r="C43" s="12">
        <f>VLOOKUP(A43,Inputs!$A$33:$B$49,2,TRUE)</f>
        <v/>
      </c>
      <c r="D43" s="13">
        <f>E42*C43/12</f>
        <v/>
      </c>
      <c r="E43" s="13">
        <f>E42+D43+B43</f>
        <v/>
      </c>
    </row>
    <row r="44">
      <c r="A44" s="11" t="n">
        <v>45717</v>
      </c>
      <c r="B44" s="13" t="n">
        <v>0</v>
      </c>
      <c r="C44" s="12">
        <f>VLOOKUP(A44,Inputs!$A$33:$B$49,2,TRUE)</f>
        <v/>
      </c>
      <c r="D44" s="13">
        <f>E43*C44/12</f>
        <v/>
      </c>
      <c r="E44" s="13">
        <f>E43+D44+B44</f>
        <v/>
      </c>
    </row>
    <row r="45">
      <c r="A45" s="11" t="n">
        <v>45748</v>
      </c>
      <c r="B45" s="13">
        <f>Inputs!$C$28/3</f>
        <v/>
      </c>
      <c r="C45" s="12">
        <f>VLOOKUP(A45,Inputs!$A$33:$B$49,2,TRUE)</f>
        <v/>
      </c>
      <c r="D45" s="13">
        <f>E44*C45/12</f>
        <v/>
      </c>
      <c r="E45" s="13">
        <f>E44+D45+B45</f>
        <v/>
      </c>
    </row>
    <row r="46">
      <c r="A46" s="11" t="n">
        <v>45778</v>
      </c>
      <c r="B46" s="13">
        <f>Inputs!$B$28*0.5</f>
        <v/>
      </c>
      <c r="C46" s="12">
        <f>VLOOKUP(A46,Inputs!$A$33:$B$49,2,TRUE)</f>
        <v/>
      </c>
      <c r="D46" s="13">
        <f>E45*C46/12</f>
        <v/>
      </c>
      <c r="E46" s="13">
        <f>E45+D46+B46</f>
        <v/>
      </c>
    </row>
    <row r="47">
      <c r="A47" s="11" t="n">
        <v>45809</v>
      </c>
      <c r="B47" s="13" t="n">
        <v>0</v>
      </c>
      <c r="C47" s="12">
        <f>VLOOKUP(A47,Inputs!$A$33:$B$49,2,TRUE)</f>
        <v/>
      </c>
      <c r="D47" s="13">
        <f>E46*C47/12</f>
        <v/>
      </c>
      <c r="E47" s="13">
        <f>E46+D47+B47</f>
        <v/>
      </c>
    </row>
    <row r="48">
      <c r="A48" s="11" t="n">
        <v>45839</v>
      </c>
      <c r="B48" s="13" t="n">
        <v>0</v>
      </c>
      <c r="C48" s="12">
        <f>VLOOKUP(A48,Inputs!$A$33:$B$49,2,TRUE)</f>
        <v/>
      </c>
      <c r="D48" s="13">
        <f>E47*C48/12</f>
        <v/>
      </c>
      <c r="E48" s="13">
        <f>E47+D48+B48</f>
        <v/>
      </c>
    </row>
    <row r="49">
      <c r="A49" s="11" t="n">
        <v>45870</v>
      </c>
      <c r="B49" s="13" t="n">
        <v>0</v>
      </c>
      <c r="C49" s="12">
        <f>VLOOKUP(A49,Inputs!$A$33:$B$49,2,TRUE)</f>
        <v/>
      </c>
      <c r="D49" s="13">
        <f>E48*C49/12</f>
        <v/>
      </c>
      <c r="E49" s="13">
        <f>E48+D49+B49</f>
        <v/>
      </c>
    </row>
    <row r="50">
      <c r="A50" s="11" t="n">
        <v>45901</v>
      </c>
      <c r="B50" s="13" t="n">
        <v>0</v>
      </c>
      <c r="C50" s="12">
        <f>VLOOKUP(A50,Inputs!$A$33:$B$49,2,TRUE)</f>
        <v/>
      </c>
      <c r="D50" s="13">
        <f>E49*C50/12</f>
        <v/>
      </c>
      <c r="E50" s="13">
        <f>E49+D50+B50</f>
        <v/>
      </c>
    </row>
    <row r="51">
      <c r="A51" s="11" t="n">
        <v>45931</v>
      </c>
      <c r="B51" s="13" t="n">
        <v>0</v>
      </c>
      <c r="C51" s="12">
        <f>VLOOKUP(A51,Inputs!$A$33:$B$49,2,TRUE)</f>
        <v/>
      </c>
      <c r="D51" s="13">
        <f>E50*C51/12</f>
        <v/>
      </c>
      <c r="E51" s="13">
        <f>E50+D51+B51</f>
        <v/>
      </c>
    </row>
    <row r="52">
      <c r="A52" s="11" t="n">
        <v>45962</v>
      </c>
      <c r="B52" s="13" t="n">
        <v>0</v>
      </c>
      <c r="C52" s="12">
        <f>VLOOKUP(A52,Inputs!$A$33:$B$49,2,TRUE)</f>
        <v/>
      </c>
      <c r="D52" s="13">
        <f>E51*C52/12</f>
        <v/>
      </c>
      <c r="E52" s="13">
        <f>E51+D52+B52</f>
        <v/>
      </c>
    </row>
    <row r="53">
      <c r="A53" s="11" t="n">
        <v>45992</v>
      </c>
      <c r="B53" s="13" t="n">
        <v>0</v>
      </c>
      <c r="C53" s="12">
        <f>VLOOKUP(A53,Inputs!$A$33:$B$49,2,TRUE)</f>
        <v/>
      </c>
      <c r="D53" s="13">
        <f>E52*C53/12</f>
        <v/>
      </c>
      <c r="E53" s="13">
        <f>E52+D53+B53</f>
        <v/>
      </c>
    </row>
    <row r="54">
      <c r="A54" s="11" t="n">
        <v>46023</v>
      </c>
      <c r="B54" s="13" t="n">
        <v>0</v>
      </c>
      <c r="C54" s="12">
        <f>VLOOKUP(A54,Inputs!$A$33:$B$49,2,TRUE)</f>
        <v/>
      </c>
      <c r="D54" s="13">
        <f>E53*C54/12</f>
        <v/>
      </c>
      <c r="E54" s="13">
        <f>E53+D54+B54</f>
        <v/>
      </c>
    </row>
    <row r="55">
      <c r="A55" s="11" t="n">
        <v>46054</v>
      </c>
      <c r="B55" s="13" t="n">
        <v>0</v>
      </c>
      <c r="C55" s="12">
        <f>VLOOKUP(A55,Inputs!$A$33:$B$49,2,TRUE)</f>
        <v/>
      </c>
      <c r="D55" s="13">
        <f>E54*C55/12</f>
        <v/>
      </c>
      <c r="E55" s="13">
        <f>E54+D55+B55</f>
        <v/>
      </c>
    </row>
    <row r="56">
      <c r="A56" s="11" t="n">
        <v>46082</v>
      </c>
      <c r="B56" s="13" t="n">
        <v>0</v>
      </c>
      <c r="C56" s="12">
        <f>VLOOKUP(A56,Inputs!$A$33:$B$49,2,TRUE)</f>
        <v/>
      </c>
      <c r="D56" s="13">
        <f>E55*C56/12</f>
        <v/>
      </c>
      <c r="E56" s="13">
        <f>E55+D56+B56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4" t="inlineStr">
        <is>
          <t>Month</t>
        </is>
      </c>
      <c r="B1" s="14" t="inlineStr">
        <is>
          <t>Salary £/yr</t>
        </is>
      </c>
      <c r="C1" s="14" t="inlineStr">
        <is>
          <t>Repayment threshold £/yr</t>
        </is>
      </c>
      <c r="D1" s="14" t="inlineStr">
        <is>
          <t>Upper interest threshold £/yr</t>
        </is>
      </c>
      <c r="E1" s="14" t="inlineStr">
        <is>
          <t>RPI</t>
        </is>
      </c>
      <c r="F1" s="14" t="inlineStr">
        <is>
          <t>Interest cap</t>
        </is>
      </c>
      <c r="G1" s="14" t="inlineStr">
        <is>
          <t>Interest rate charged</t>
        </is>
      </c>
      <c r="H1" s="14" t="inlineStr">
        <is>
          <t>Mandatory payment £/mo</t>
        </is>
      </c>
      <c r="I1" s="14" t="inlineStr">
        <is>
          <t>MANDATORY ONLY — interest £</t>
        </is>
      </c>
      <c r="J1" s="14" t="inlineStr">
        <is>
          <t>MANDATORY ONLY — paid £</t>
        </is>
      </c>
      <c r="K1" s="14" t="inlineStr">
        <is>
          <t>MANDATORY ONLY — balance £</t>
        </is>
      </c>
      <c r="L1" s="14" t="inlineStr">
        <is>
          <t>WITH OVERPAYMENTS — extra paid £</t>
        </is>
      </c>
      <c r="M1" s="14" t="inlineStr">
        <is>
          <t>WITH OVERPAYMENTS — interest £</t>
        </is>
      </c>
      <c r="N1" s="14" t="inlineStr">
        <is>
          <t>WITH OVERPAYMENTS — total paid £</t>
        </is>
      </c>
      <c r="O1" s="14" t="inlineStr">
        <is>
          <t>WITH OVERPAYMENTS — balance £</t>
        </is>
      </c>
    </row>
    <row r="2">
      <c r="A2" s="11" t="n">
        <v>46113</v>
      </c>
      <c r="B2" s="15">
        <f>Inputs!$B$5</f>
        <v/>
      </c>
      <c r="C2" s="15">
        <f>Inputs!$B$18</f>
        <v/>
      </c>
      <c r="D2" s="15">
        <f>Inputs!$B$19</f>
        <v/>
      </c>
      <c r="E2" s="12">
        <f>VLOOKUP(A2,Inputs!$A$53:$C$55,2,TRUE)</f>
        <v/>
      </c>
      <c r="F2" s="12">
        <f>VLOOKUP(A2,Inputs!$A$53:$C$55,3,TRUE)</f>
        <v/>
      </c>
      <c r="G2" s="12">
        <f>MIN(F2,E2+0.03*MAX(0,MIN(1,(B2-C2)/(D2-C2))))</f>
        <v/>
      </c>
      <c r="H2" s="13">
        <f>MAX(0,0.09*(B2-C2)/12)</f>
        <v/>
      </c>
      <c r="I2" s="13">
        <f>Summary!$B$5*G2/12</f>
        <v/>
      </c>
      <c r="J2" s="13">
        <f>MIN(H2,Summary!$B$5+I2)</f>
        <v/>
      </c>
      <c r="K2" s="13">
        <f>MAX(0,Summary!$B$5+I2-J2)</f>
        <v/>
      </c>
      <c r="L2" s="13">
        <f>Inputs!$B$7+IF(AND(YEAR(A2)=YEAR(Inputs!$B$9),MONTH(A2)=MONTH(Inputs!$B$9)),Inputs!$B$8,0)</f>
        <v/>
      </c>
      <c r="M2" s="13">
        <f>Summary!$B$5*G2/12</f>
        <v/>
      </c>
      <c r="N2" s="13">
        <f>MIN(H2+L2,Summary!$B$5+M2)</f>
        <v/>
      </c>
      <c r="O2" s="13">
        <f>MAX(0,Summary!$B$5+M2-N2)</f>
        <v/>
      </c>
    </row>
    <row r="3">
      <c r="A3" s="11" t="n">
        <v>46143</v>
      </c>
      <c r="B3" s="15">
        <f>IF(MONTH(A3)=4,B2*(1+Inputs!$B$6),B2)</f>
        <v/>
      </c>
      <c r="C3" s="15">
        <f>IF(AND(MONTH(A3)=4,YEAR(A3)&gt;=Inputs!$B$20),C2*(1+Inputs!$B$21),C2)</f>
        <v/>
      </c>
      <c r="D3" s="15">
        <f>IF(AND(MONTH(A3)=4,YEAR(A3)&gt;=Inputs!$B$20),D2*(1+Inputs!$B$21),D2)</f>
        <v/>
      </c>
      <c r="E3" s="12">
        <f>VLOOKUP(A3,Inputs!$A$53:$C$55,2,TRUE)</f>
        <v/>
      </c>
      <c r="F3" s="12">
        <f>VLOOKUP(A3,Inputs!$A$53:$C$55,3,TRUE)</f>
        <v/>
      </c>
      <c r="G3" s="12">
        <f>MIN(F3,E3+0.03*MAX(0,MIN(1,(B3-C3)/(D3-C3))))</f>
        <v/>
      </c>
      <c r="H3" s="13">
        <f>MAX(0,0.09*(B3-C3)/12)</f>
        <v/>
      </c>
      <c r="I3" s="13">
        <f>K2*G3/12</f>
        <v/>
      </c>
      <c r="J3" s="13">
        <f>MIN(H3,K2+I3)</f>
        <v/>
      </c>
      <c r="K3" s="13">
        <f>MAX(0,K2+I3-J3)</f>
        <v/>
      </c>
      <c r="L3" s="13">
        <f>Inputs!$B$7+IF(AND(YEAR(A3)=YEAR(Inputs!$B$9),MONTH(A3)=MONTH(Inputs!$B$9)),Inputs!$B$8,0)</f>
        <v/>
      </c>
      <c r="M3" s="13">
        <f>O2*G3/12</f>
        <v/>
      </c>
      <c r="N3" s="13">
        <f>MIN(H3+L3,O2+M3)</f>
        <v/>
      </c>
      <c r="O3" s="13">
        <f>MAX(0,O2+M3-N3)</f>
        <v/>
      </c>
    </row>
    <row r="4">
      <c r="A4" s="11" t="n">
        <v>46174</v>
      </c>
      <c r="B4" s="15">
        <f>IF(MONTH(A4)=4,B3*(1+Inputs!$B$6),B3)</f>
        <v/>
      </c>
      <c r="C4" s="15">
        <f>IF(AND(MONTH(A4)=4,YEAR(A4)&gt;=Inputs!$B$20),C3*(1+Inputs!$B$21),C3)</f>
        <v/>
      </c>
      <c r="D4" s="15">
        <f>IF(AND(MONTH(A4)=4,YEAR(A4)&gt;=Inputs!$B$20),D3*(1+Inputs!$B$21),D3)</f>
        <v/>
      </c>
      <c r="E4" s="12">
        <f>VLOOKUP(A4,Inputs!$A$53:$C$55,2,TRUE)</f>
        <v/>
      </c>
      <c r="F4" s="12">
        <f>VLOOKUP(A4,Inputs!$A$53:$C$55,3,TRUE)</f>
        <v/>
      </c>
      <c r="G4" s="12">
        <f>MIN(F4,E4+0.03*MAX(0,MIN(1,(B4-C4)/(D4-C4))))</f>
        <v/>
      </c>
      <c r="H4" s="13">
        <f>MAX(0,0.09*(B4-C4)/12)</f>
        <v/>
      </c>
      <c r="I4" s="13">
        <f>K3*G4/12</f>
        <v/>
      </c>
      <c r="J4" s="13">
        <f>MIN(H4,K3+I4)</f>
        <v/>
      </c>
      <c r="K4" s="13">
        <f>MAX(0,K3+I4-J4)</f>
        <v/>
      </c>
      <c r="L4" s="13">
        <f>Inputs!$B$7+IF(AND(YEAR(A4)=YEAR(Inputs!$B$9),MONTH(A4)=MONTH(Inputs!$B$9)),Inputs!$B$8,0)</f>
        <v/>
      </c>
      <c r="M4" s="13">
        <f>O3*G4/12</f>
        <v/>
      </c>
      <c r="N4" s="13">
        <f>MIN(H4+L4,O3+M4)</f>
        <v/>
      </c>
      <c r="O4" s="13">
        <f>MAX(0,O3+M4-N4)</f>
        <v/>
      </c>
    </row>
    <row r="5">
      <c r="A5" s="11" t="n">
        <v>46204</v>
      </c>
      <c r="B5" s="15">
        <f>IF(MONTH(A5)=4,B4*(1+Inputs!$B$6),B4)</f>
        <v/>
      </c>
      <c r="C5" s="15">
        <f>IF(AND(MONTH(A5)=4,YEAR(A5)&gt;=Inputs!$B$20),C4*(1+Inputs!$B$21),C4)</f>
        <v/>
      </c>
      <c r="D5" s="15">
        <f>IF(AND(MONTH(A5)=4,YEAR(A5)&gt;=Inputs!$B$20),D4*(1+Inputs!$B$21),D4)</f>
        <v/>
      </c>
      <c r="E5" s="12">
        <f>VLOOKUP(A5,Inputs!$A$53:$C$55,2,TRUE)</f>
        <v/>
      </c>
      <c r="F5" s="12">
        <f>VLOOKUP(A5,Inputs!$A$53:$C$55,3,TRUE)</f>
        <v/>
      </c>
      <c r="G5" s="12">
        <f>MIN(F5,E5+0.03*MAX(0,MIN(1,(B5-C5)/(D5-C5))))</f>
        <v/>
      </c>
      <c r="H5" s="13">
        <f>MAX(0,0.09*(B5-C5)/12)</f>
        <v/>
      </c>
      <c r="I5" s="13">
        <f>K4*G5/12</f>
        <v/>
      </c>
      <c r="J5" s="13">
        <f>MIN(H5,K4+I5)</f>
        <v/>
      </c>
      <c r="K5" s="13">
        <f>MAX(0,K4+I5-J5)</f>
        <v/>
      </c>
      <c r="L5" s="13">
        <f>Inputs!$B$7+IF(AND(YEAR(A5)=YEAR(Inputs!$B$9),MONTH(A5)=MONTH(Inputs!$B$9)),Inputs!$B$8,0)</f>
        <v/>
      </c>
      <c r="M5" s="13">
        <f>O4*G5/12</f>
        <v/>
      </c>
      <c r="N5" s="13">
        <f>MIN(H5+L5,O4+M5)</f>
        <v/>
      </c>
      <c r="O5" s="13">
        <f>MAX(0,O4+M5-N5)</f>
        <v/>
      </c>
    </row>
    <row r="6">
      <c r="A6" s="11" t="n">
        <v>46235</v>
      </c>
      <c r="B6" s="15">
        <f>IF(MONTH(A6)=4,B5*(1+Inputs!$B$6),B5)</f>
        <v/>
      </c>
      <c r="C6" s="15">
        <f>IF(AND(MONTH(A6)=4,YEAR(A6)&gt;=Inputs!$B$20),C5*(1+Inputs!$B$21),C5)</f>
        <v/>
      </c>
      <c r="D6" s="15">
        <f>IF(AND(MONTH(A6)=4,YEAR(A6)&gt;=Inputs!$B$20),D5*(1+Inputs!$B$21),D5)</f>
        <v/>
      </c>
      <c r="E6" s="12">
        <f>VLOOKUP(A6,Inputs!$A$53:$C$55,2,TRUE)</f>
        <v/>
      </c>
      <c r="F6" s="12">
        <f>VLOOKUP(A6,Inputs!$A$53:$C$55,3,TRUE)</f>
        <v/>
      </c>
      <c r="G6" s="12">
        <f>MIN(F6,E6+0.03*MAX(0,MIN(1,(B6-C6)/(D6-C6))))</f>
        <v/>
      </c>
      <c r="H6" s="13">
        <f>MAX(0,0.09*(B6-C6)/12)</f>
        <v/>
      </c>
      <c r="I6" s="13">
        <f>K5*G6/12</f>
        <v/>
      </c>
      <c r="J6" s="13">
        <f>MIN(H6,K5+I6)</f>
        <v/>
      </c>
      <c r="K6" s="13">
        <f>MAX(0,K5+I6-J6)</f>
        <v/>
      </c>
      <c r="L6" s="13">
        <f>Inputs!$B$7+IF(AND(YEAR(A6)=YEAR(Inputs!$B$9),MONTH(A6)=MONTH(Inputs!$B$9)),Inputs!$B$8,0)</f>
        <v/>
      </c>
      <c r="M6" s="13">
        <f>O5*G6/12</f>
        <v/>
      </c>
      <c r="N6" s="13">
        <f>MIN(H6+L6,O5+M6)</f>
        <v/>
      </c>
      <c r="O6" s="13">
        <f>MAX(0,O5+M6-N6)</f>
        <v/>
      </c>
    </row>
    <row r="7">
      <c r="A7" s="11" t="n">
        <v>46266</v>
      </c>
      <c r="B7" s="15">
        <f>IF(MONTH(A7)=4,B6*(1+Inputs!$B$6),B6)</f>
        <v/>
      </c>
      <c r="C7" s="15">
        <f>IF(AND(MONTH(A7)=4,YEAR(A7)&gt;=Inputs!$B$20),C6*(1+Inputs!$B$21),C6)</f>
        <v/>
      </c>
      <c r="D7" s="15">
        <f>IF(AND(MONTH(A7)=4,YEAR(A7)&gt;=Inputs!$B$20),D6*(1+Inputs!$B$21),D6)</f>
        <v/>
      </c>
      <c r="E7" s="12">
        <f>VLOOKUP(A7,Inputs!$A$53:$C$55,2,TRUE)</f>
        <v/>
      </c>
      <c r="F7" s="12">
        <f>VLOOKUP(A7,Inputs!$A$53:$C$55,3,TRUE)</f>
        <v/>
      </c>
      <c r="G7" s="12">
        <f>MIN(F7,E7+0.03*MAX(0,MIN(1,(B7-C7)/(D7-C7))))</f>
        <v/>
      </c>
      <c r="H7" s="13">
        <f>MAX(0,0.09*(B7-C7)/12)</f>
        <v/>
      </c>
      <c r="I7" s="13">
        <f>K6*G7/12</f>
        <v/>
      </c>
      <c r="J7" s="13">
        <f>MIN(H7,K6+I7)</f>
        <v/>
      </c>
      <c r="K7" s="13">
        <f>MAX(0,K6+I7-J7)</f>
        <v/>
      </c>
      <c r="L7" s="13">
        <f>Inputs!$B$7+IF(AND(YEAR(A7)=YEAR(Inputs!$B$9),MONTH(A7)=MONTH(Inputs!$B$9)),Inputs!$B$8,0)</f>
        <v/>
      </c>
      <c r="M7" s="13">
        <f>O6*G7/12</f>
        <v/>
      </c>
      <c r="N7" s="13">
        <f>MIN(H7+L7,O6+M7)</f>
        <v/>
      </c>
      <c r="O7" s="13">
        <f>MAX(0,O6+M7-N7)</f>
        <v/>
      </c>
    </row>
    <row r="8">
      <c r="A8" s="11" t="n">
        <v>46296</v>
      </c>
      <c r="B8" s="15">
        <f>IF(MONTH(A8)=4,B7*(1+Inputs!$B$6),B7)</f>
        <v/>
      </c>
      <c r="C8" s="15">
        <f>IF(AND(MONTH(A8)=4,YEAR(A8)&gt;=Inputs!$B$20),C7*(1+Inputs!$B$21),C7)</f>
        <v/>
      </c>
      <c r="D8" s="15">
        <f>IF(AND(MONTH(A8)=4,YEAR(A8)&gt;=Inputs!$B$20),D7*(1+Inputs!$B$21),D7)</f>
        <v/>
      </c>
      <c r="E8" s="12">
        <f>VLOOKUP(A8,Inputs!$A$53:$C$55,2,TRUE)</f>
        <v/>
      </c>
      <c r="F8" s="12">
        <f>VLOOKUP(A8,Inputs!$A$53:$C$55,3,TRUE)</f>
        <v/>
      </c>
      <c r="G8" s="12">
        <f>MIN(F8,E8+0.03*MAX(0,MIN(1,(B8-C8)/(D8-C8))))</f>
        <v/>
      </c>
      <c r="H8" s="13">
        <f>MAX(0,0.09*(B8-C8)/12)</f>
        <v/>
      </c>
      <c r="I8" s="13">
        <f>K7*G8/12</f>
        <v/>
      </c>
      <c r="J8" s="13">
        <f>MIN(H8,K7+I8)</f>
        <v/>
      </c>
      <c r="K8" s="13">
        <f>MAX(0,K7+I8-J8)</f>
        <v/>
      </c>
      <c r="L8" s="13">
        <f>Inputs!$B$7+IF(AND(YEAR(A8)=YEAR(Inputs!$B$9),MONTH(A8)=MONTH(Inputs!$B$9)),Inputs!$B$8,0)</f>
        <v/>
      </c>
      <c r="M8" s="13">
        <f>O7*G8/12</f>
        <v/>
      </c>
      <c r="N8" s="13">
        <f>MIN(H8+L8,O7+M8)</f>
        <v/>
      </c>
      <c r="O8" s="13">
        <f>MAX(0,O7+M8-N8)</f>
        <v/>
      </c>
    </row>
    <row r="9">
      <c r="A9" s="11" t="n">
        <v>46327</v>
      </c>
      <c r="B9" s="15">
        <f>IF(MONTH(A9)=4,B8*(1+Inputs!$B$6),B8)</f>
        <v/>
      </c>
      <c r="C9" s="15">
        <f>IF(AND(MONTH(A9)=4,YEAR(A9)&gt;=Inputs!$B$20),C8*(1+Inputs!$B$21),C8)</f>
        <v/>
      </c>
      <c r="D9" s="15">
        <f>IF(AND(MONTH(A9)=4,YEAR(A9)&gt;=Inputs!$B$20),D8*(1+Inputs!$B$21),D8)</f>
        <v/>
      </c>
      <c r="E9" s="12">
        <f>VLOOKUP(A9,Inputs!$A$53:$C$55,2,TRUE)</f>
        <v/>
      </c>
      <c r="F9" s="12">
        <f>VLOOKUP(A9,Inputs!$A$53:$C$55,3,TRUE)</f>
        <v/>
      </c>
      <c r="G9" s="12">
        <f>MIN(F9,E9+0.03*MAX(0,MIN(1,(B9-C9)/(D9-C9))))</f>
        <v/>
      </c>
      <c r="H9" s="13">
        <f>MAX(0,0.09*(B9-C9)/12)</f>
        <v/>
      </c>
      <c r="I9" s="13">
        <f>K8*G9/12</f>
        <v/>
      </c>
      <c r="J9" s="13">
        <f>MIN(H9,K8+I9)</f>
        <v/>
      </c>
      <c r="K9" s="13">
        <f>MAX(0,K8+I9-J9)</f>
        <v/>
      </c>
      <c r="L9" s="13">
        <f>Inputs!$B$7+IF(AND(YEAR(A9)=YEAR(Inputs!$B$9),MONTH(A9)=MONTH(Inputs!$B$9)),Inputs!$B$8,0)</f>
        <v/>
      </c>
      <c r="M9" s="13">
        <f>O8*G9/12</f>
        <v/>
      </c>
      <c r="N9" s="13">
        <f>MIN(H9+L9,O8+M9)</f>
        <v/>
      </c>
      <c r="O9" s="13">
        <f>MAX(0,O8+M9-N9)</f>
        <v/>
      </c>
    </row>
    <row r="10">
      <c r="A10" s="11" t="n">
        <v>46357</v>
      </c>
      <c r="B10" s="15">
        <f>IF(MONTH(A10)=4,B9*(1+Inputs!$B$6),B9)</f>
        <v/>
      </c>
      <c r="C10" s="15">
        <f>IF(AND(MONTH(A10)=4,YEAR(A10)&gt;=Inputs!$B$20),C9*(1+Inputs!$B$21),C9)</f>
        <v/>
      </c>
      <c r="D10" s="15">
        <f>IF(AND(MONTH(A10)=4,YEAR(A10)&gt;=Inputs!$B$20),D9*(1+Inputs!$B$21),D9)</f>
        <v/>
      </c>
      <c r="E10" s="12">
        <f>VLOOKUP(A10,Inputs!$A$53:$C$55,2,TRUE)</f>
        <v/>
      </c>
      <c r="F10" s="12">
        <f>VLOOKUP(A10,Inputs!$A$53:$C$55,3,TRUE)</f>
        <v/>
      </c>
      <c r="G10" s="12">
        <f>MIN(F10,E10+0.03*MAX(0,MIN(1,(B10-C10)/(D10-C10))))</f>
        <v/>
      </c>
      <c r="H10" s="13">
        <f>MAX(0,0.09*(B10-C10)/12)</f>
        <v/>
      </c>
      <c r="I10" s="13">
        <f>K9*G10/12</f>
        <v/>
      </c>
      <c r="J10" s="13">
        <f>MIN(H10,K9+I10)</f>
        <v/>
      </c>
      <c r="K10" s="13">
        <f>MAX(0,K9+I10-J10)</f>
        <v/>
      </c>
      <c r="L10" s="13">
        <f>Inputs!$B$7+IF(AND(YEAR(A10)=YEAR(Inputs!$B$9),MONTH(A10)=MONTH(Inputs!$B$9)),Inputs!$B$8,0)</f>
        <v/>
      </c>
      <c r="M10" s="13">
        <f>O9*G10/12</f>
        <v/>
      </c>
      <c r="N10" s="13">
        <f>MIN(H10+L10,O9+M10)</f>
        <v/>
      </c>
      <c r="O10" s="13">
        <f>MAX(0,O9+M10-N10)</f>
        <v/>
      </c>
    </row>
    <row r="11">
      <c r="A11" s="11" t="n">
        <v>46388</v>
      </c>
      <c r="B11" s="15">
        <f>IF(MONTH(A11)=4,B10*(1+Inputs!$B$6),B10)</f>
        <v/>
      </c>
      <c r="C11" s="15">
        <f>IF(AND(MONTH(A11)=4,YEAR(A11)&gt;=Inputs!$B$20),C10*(1+Inputs!$B$21),C10)</f>
        <v/>
      </c>
      <c r="D11" s="15">
        <f>IF(AND(MONTH(A11)=4,YEAR(A11)&gt;=Inputs!$B$20),D10*(1+Inputs!$B$21),D10)</f>
        <v/>
      </c>
      <c r="E11" s="12">
        <f>VLOOKUP(A11,Inputs!$A$53:$C$55,2,TRUE)</f>
        <v/>
      </c>
      <c r="F11" s="12">
        <f>VLOOKUP(A11,Inputs!$A$53:$C$55,3,TRUE)</f>
        <v/>
      </c>
      <c r="G11" s="12">
        <f>MIN(F11,E11+0.03*MAX(0,MIN(1,(B11-C11)/(D11-C11))))</f>
        <v/>
      </c>
      <c r="H11" s="13">
        <f>MAX(0,0.09*(B11-C11)/12)</f>
        <v/>
      </c>
      <c r="I11" s="13">
        <f>K10*G11/12</f>
        <v/>
      </c>
      <c r="J11" s="13">
        <f>MIN(H11,K10+I11)</f>
        <v/>
      </c>
      <c r="K11" s="13">
        <f>MAX(0,K10+I11-J11)</f>
        <v/>
      </c>
      <c r="L11" s="13">
        <f>Inputs!$B$7+IF(AND(YEAR(A11)=YEAR(Inputs!$B$9),MONTH(A11)=MONTH(Inputs!$B$9)),Inputs!$B$8,0)</f>
        <v/>
      </c>
      <c r="M11" s="13">
        <f>O10*G11/12</f>
        <v/>
      </c>
      <c r="N11" s="13">
        <f>MIN(H11+L11,O10+M11)</f>
        <v/>
      </c>
      <c r="O11" s="13">
        <f>MAX(0,O10+M11-N11)</f>
        <v/>
      </c>
    </row>
    <row r="12">
      <c r="A12" s="11" t="n">
        <v>46419</v>
      </c>
      <c r="B12" s="15">
        <f>IF(MONTH(A12)=4,B11*(1+Inputs!$B$6),B11)</f>
        <v/>
      </c>
      <c r="C12" s="15">
        <f>IF(AND(MONTH(A12)=4,YEAR(A12)&gt;=Inputs!$B$20),C11*(1+Inputs!$B$21),C11)</f>
        <v/>
      </c>
      <c r="D12" s="15">
        <f>IF(AND(MONTH(A12)=4,YEAR(A12)&gt;=Inputs!$B$20),D11*(1+Inputs!$B$21),D11)</f>
        <v/>
      </c>
      <c r="E12" s="12">
        <f>VLOOKUP(A12,Inputs!$A$53:$C$55,2,TRUE)</f>
        <v/>
      </c>
      <c r="F12" s="12">
        <f>VLOOKUP(A12,Inputs!$A$53:$C$55,3,TRUE)</f>
        <v/>
      </c>
      <c r="G12" s="12">
        <f>MIN(F12,E12+0.03*MAX(0,MIN(1,(B12-C12)/(D12-C12))))</f>
        <v/>
      </c>
      <c r="H12" s="13">
        <f>MAX(0,0.09*(B12-C12)/12)</f>
        <v/>
      </c>
      <c r="I12" s="13">
        <f>K11*G12/12</f>
        <v/>
      </c>
      <c r="J12" s="13">
        <f>MIN(H12,K11+I12)</f>
        <v/>
      </c>
      <c r="K12" s="13">
        <f>MAX(0,K11+I12-J12)</f>
        <v/>
      </c>
      <c r="L12" s="13">
        <f>Inputs!$B$7+IF(AND(YEAR(A12)=YEAR(Inputs!$B$9),MONTH(A12)=MONTH(Inputs!$B$9)),Inputs!$B$8,0)</f>
        <v/>
      </c>
      <c r="M12" s="13">
        <f>O11*G12/12</f>
        <v/>
      </c>
      <c r="N12" s="13">
        <f>MIN(H12+L12,O11+M12)</f>
        <v/>
      </c>
      <c r="O12" s="13">
        <f>MAX(0,O11+M12-N12)</f>
        <v/>
      </c>
    </row>
    <row r="13">
      <c r="A13" s="11" t="n">
        <v>46447</v>
      </c>
      <c r="B13" s="15">
        <f>IF(MONTH(A13)=4,B12*(1+Inputs!$B$6),B12)</f>
        <v/>
      </c>
      <c r="C13" s="15">
        <f>IF(AND(MONTH(A13)=4,YEAR(A13)&gt;=Inputs!$B$20),C12*(1+Inputs!$B$21),C12)</f>
        <v/>
      </c>
      <c r="D13" s="15">
        <f>IF(AND(MONTH(A13)=4,YEAR(A13)&gt;=Inputs!$B$20),D12*(1+Inputs!$B$21),D12)</f>
        <v/>
      </c>
      <c r="E13" s="12">
        <f>VLOOKUP(A13,Inputs!$A$53:$C$55,2,TRUE)</f>
        <v/>
      </c>
      <c r="F13" s="12">
        <f>VLOOKUP(A13,Inputs!$A$53:$C$55,3,TRUE)</f>
        <v/>
      </c>
      <c r="G13" s="12">
        <f>MIN(F13,E13+0.03*MAX(0,MIN(1,(B13-C13)/(D13-C13))))</f>
        <v/>
      </c>
      <c r="H13" s="13">
        <f>MAX(0,0.09*(B13-C13)/12)</f>
        <v/>
      </c>
      <c r="I13" s="13">
        <f>K12*G13/12</f>
        <v/>
      </c>
      <c r="J13" s="13">
        <f>MIN(H13,K12+I13)</f>
        <v/>
      </c>
      <c r="K13" s="13">
        <f>MAX(0,K12+I13-J13)</f>
        <v/>
      </c>
      <c r="L13" s="13">
        <f>Inputs!$B$7+IF(AND(YEAR(A13)=YEAR(Inputs!$B$9),MONTH(A13)=MONTH(Inputs!$B$9)),Inputs!$B$8,0)</f>
        <v/>
      </c>
      <c r="M13" s="13">
        <f>O12*G13/12</f>
        <v/>
      </c>
      <c r="N13" s="13">
        <f>MIN(H13+L13,O12+M13)</f>
        <v/>
      </c>
      <c r="O13" s="13">
        <f>MAX(0,O12+M13-N13)</f>
        <v/>
      </c>
    </row>
    <row r="14">
      <c r="A14" s="11" t="n">
        <v>46478</v>
      </c>
      <c r="B14" s="15">
        <f>IF(MONTH(A14)=4,B13*(1+Inputs!$B$6),B13)</f>
        <v/>
      </c>
      <c r="C14" s="15">
        <f>IF(AND(MONTH(A14)=4,YEAR(A14)&gt;=Inputs!$B$20),C13*(1+Inputs!$B$21),C13)</f>
        <v/>
      </c>
      <c r="D14" s="15">
        <f>IF(AND(MONTH(A14)=4,YEAR(A14)&gt;=Inputs!$B$20),D13*(1+Inputs!$B$21),D13)</f>
        <v/>
      </c>
      <c r="E14" s="12">
        <f>VLOOKUP(A14,Inputs!$A$53:$C$55,2,TRUE)</f>
        <v/>
      </c>
      <c r="F14" s="12">
        <f>VLOOKUP(A14,Inputs!$A$53:$C$55,3,TRUE)</f>
        <v/>
      </c>
      <c r="G14" s="12">
        <f>MIN(F14,E14+0.03*MAX(0,MIN(1,(B14-C14)/(D14-C14))))</f>
        <v/>
      </c>
      <c r="H14" s="13">
        <f>MAX(0,0.09*(B14-C14)/12)</f>
        <v/>
      </c>
      <c r="I14" s="13">
        <f>K13*G14/12</f>
        <v/>
      </c>
      <c r="J14" s="13">
        <f>MIN(H14,K13+I14)</f>
        <v/>
      </c>
      <c r="K14" s="13">
        <f>MAX(0,K13+I14-J14)</f>
        <v/>
      </c>
      <c r="L14" s="13">
        <f>Inputs!$B$7+IF(AND(YEAR(A14)=YEAR(Inputs!$B$9),MONTH(A14)=MONTH(Inputs!$B$9)),Inputs!$B$8,0)</f>
        <v/>
      </c>
      <c r="M14" s="13">
        <f>O13*G14/12</f>
        <v/>
      </c>
      <c r="N14" s="13">
        <f>MIN(H14+L14,O13+M14)</f>
        <v/>
      </c>
      <c r="O14" s="13">
        <f>MAX(0,O13+M14-N14)</f>
        <v/>
      </c>
    </row>
    <row r="15">
      <c r="A15" s="11" t="n">
        <v>46508</v>
      </c>
      <c r="B15" s="15">
        <f>IF(MONTH(A15)=4,B14*(1+Inputs!$B$6),B14)</f>
        <v/>
      </c>
      <c r="C15" s="15">
        <f>IF(AND(MONTH(A15)=4,YEAR(A15)&gt;=Inputs!$B$20),C14*(1+Inputs!$B$21),C14)</f>
        <v/>
      </c>
      <c r="D15" s="15">
        <f>IF(AND(MONTH(A15)=4,YEAR(A15)&gt;=Inputs!$B$20),D14*(1+Inputs!$B$21),D14)</f>
        <v/>
      </c>
      <c r="E15" s="12">
        <f>VLOOKUP(A15,Inputs!$A$53:$C$55,2,TRUE)</f>
        <v/>
      </c>
      <c r="F15" s="12">
        <f>VLOOKUP(A15,Inputs!$A$53:$C$55,3,TRUE)</f>
        <v/>
      </c>
      <c r="G15" s="12">
        <f>MIN(F15,E15+0.03*MAX(0,MIN(1,(B15-C15)/(D15-C15))))</f>
        <v/>
      </c>
      <c r="H15" s="13">
        <f>MAX(0,0.09*(B15-C15)/12)</f>
        <v/>
      </c>
      <c r="I15" s="13">
        <f>K14*G15/12</f>
        <v/>
      </c>
      <c r="J15" s="13">
        <f>MIN(H15,K14+I15)</f>
        <v/>
      </c>
      <c r="K15" s="13">
        <f>MAX(0,K14+I15-J15)</f>
        <v/>
      </c>
      <c r="L15" s="13">
        <f>Inputs!$B$7+IF(AND(YEAR(A15)=YEAR(Inputs!$B$9),MONTH(A15)=MONTH(Inputs!$B$9)),Inputs!$B$8,0)</f>
        <v/>
      </c>
      <c r="M15" s="13">
        <f>O14*G15/12</f>
        <v/>
      </c>
      <c r="N15" s="13">
        <f>MIN(H15+L15,O14+M15)</f>
        <v/>
      </c>
      <c r="O15" s="13">
        <f>MAX(0,O14+M15-N15)</f>
        <v/>
      </c>
    </row>
    <row r="16">
      <c r="A16" s="11" t="n">
        <v>46539</v>
      </c>
      <c r="B16" s="15">
        <f>IF(MONTH(A16)=4,B15*(1+Inputs!$B$6),B15)</f>
        <v/>
      </c>
      <c r="C16" s="15">
        <f>IF(AND(MONTH(A16)=4,YEAR(A16)&gt;=Inputs!$B$20),C15*(1+Inputs!$B$21),C15)</f>
        <v/>
      </c>
      <c r="D16" s="15">
        <f>IF(AND(MONTH(A16)=4,YEAR(A16)&gt;=Inputs!$B$20),D15*(1+Inputs!$B$21),D15)</f>
        <v/>
      </c>
      <c r="E16" s="12">
        <f>VLOOKUP(A16,Inputs!$A$53:$C$55,2,TRUE)</f>
        <v/>
      </c>
      <c r="F16" s="12">
        <f>VLOOKUP(A16,Inputs!$A$53:$C$55,3,TRUE)</f>
        <v/>
      </c>
      <c r="G16" s="12">
        <f>MIN(F16,E16+0.03*MAX(0,MIN(1,(B16-C16)/(D16-C16))))</f>
        <v/>
      </c>
      <c r="H16" s="13">
        <f>MAX(0,0.09*(B16-C16)/12)</f>
        <v/>
      </c>
      <c r="I16" s="13">
        <f>K15*G16/12</f>
        <v/>
      </c>
      <c r="J16" s="13">
        <f>MIN(H16,K15+I16)</f>
        <v/>
      </c>
      <c r="K16" s="13">
        <f>MAX(0,K15+I16-J16)</f>
        <v/>
      </c>
      <c r="L16" s="13">
        <f>Inputs!$B$7+IF(AND(YEAR(A16)=YEAR(Inputs!$B$9),MONTH(A16)=MONTH(Inputs!$B$9)),Inputs!$B$8,0)</f>
        <v/>
      </c>
      <c r="M16" s="13">
        <f>O15*G16/12</f>
        <v/>
      </c>
      <c r="N16" s="13">
        <f>MIN(H16+L16,O15+M16)</f>
        <v/>
      </c>
      <c r="O16" s="13">
        <f>MAX(0,O15+M16-N16)</f>
        <v/>
      </c>
    </row>
    <row r="17">
      <c r="A17" s="11" t="n">
        <v>46569</v>
      </c>
      <c r="B17" s="15">
        <f>IF(MONTH(A17)=4,B16*(1+Inputs!$B$6),B16)</f>
        <v/>
      </c>
      <c r="C17" s="15">
        <f>IF(AND(MONTH(A17)=4,YEAR(A17)&gt;=Inputs!$B$20),C16*(1+Inputs!$B$21),C16)</f>
        <v/>
      </c>
      <c r="D17" s="15">
        <f>IF(AND(MONTH(A17)=4,YEAR(A17)&gt;=Inputs!$B$20),D16*(1+Inputs!$B$21),D16)</f>
        <v/>
      </c>
      <c r="E17" s="12">
        <f>VLOOKUP(A17,Inputs!$A$53:$C$55,2,TRUE)</f>
        <v/>
      </c>
      <c r="F17" s="12">
        <f>VLOOKUP(A17,Inputs!$A$53:$C$55,3,TRUE)</f>
        <v/>
      </c>
      <c r="G17" s="12">
        <f>MIN(F17,E17+0.03*MAX(0,MIN(1,(B17-C17)/(D17-C17))))</f>
        <v/>
      </c>
      <c r="H17" s="13">
        <f>MAX(0,0.09*(B17-C17)/12)</f>
        <v/>
      </c>
      <c r="I17" s="13">
        <f>K16*G17/12</f>
        <v/>
      </c>
      <c r="J17" s="13">
        <f>MIN(H17,K16+I17)</f>
        <v/>
      </c>
      <c r="K17" s="13">
        <f>MAX(0,K16+I17-J17)</f>
        <v/>
      </c>
      <c r="L17" s="13">
        <f>Inputs!$B$7+IF(AND(YEAR(A17)=YEAR(Inputs!$B$9),MONTH(A17)=MONTH(Inputs!$B$9)),Inputs!$B$8,0)</f>
        <v/>
      </c>
      <c r="M17" s="13">
        <f>O16*G17/12</f>
        <v/>
      </c>
      <c r="N17" s="13">
        <f>MIN(H17+L17,O16+M17)</f>
        <v/>
      </c>
      <c r="O17" s="13">
        <f>MAX(0,O16+M17-N17)</f>
        <v/>
      </c>
    </row>
    <row r="18">
      <c r="A18" s="11" t="n">
        <v>46600</v>
      </c>
      <c r="B18" s="15">
        <f>IF(MONTH(A18)=4,B17*(1+Inputs!$B$6),B17)</f>
        <v/>
      </c>
      <c r="C18" s="15">
        <f>IF(AND(MONTH(A18)=4,YEAR(A18)&gt;=Inputs!$B$20),C17*(1+Inputs!$B$21),C17)</f>
        <v/>
      </c>
      <c r="D18" s="15">
        <f>IF(AND(MONTH(A18)=4,YEAR(A18)&gt;=Inputs!$B$20),D17*(1+Inputs!$B$21),D17)</f>
        <v/>
      </c>
      <c r="E18" s="12">
        <f>VLOOKUP(A18,Inputs!$A$53:$C$55,2,TRUE)</f>
        <v/>
      </c>
      <c r="F18" s="12">
        <f>VLOOKUP(A18,Inputs!$A$53:$C$55,3,TRUE)</f>
        <v/>
      </c>
      <c r="G18" s="12">
        <f>MIN(F18,E18+0.03*MAX(0,MIN(1,(B18-C18)/(D18-C18))))</f>
        <v/>
      </c>
      <c r="H18" s="13">
        <f>MAX(0,0.09*(B18-C18)/12)</f>
        <v/>
      </c>
      <c r="I18" s="13">
        <f>K17*G18/12</f>
        <v/>
      </c>
      <c r="J18" s="13">
        <f>MIN(H18,K17+I18)</f>
        <v/>
      </c>
      <c r="K18" s="13">
        <f>MAX(0,K17+I18-J18)</f>
        <v/>
      </c>
      <c r="L18" s="13">
        <f>Inputs!$B$7+IF(AND(YEAR(A18)=YEAR(Inputs!$B$9),MONTH(A18)=MONTH(Inputs!$B$9)),Inputs!$B$8,0)</f>
        <v/>
      </c>
      <c r="M18" s="13">
        <f>O17*G18/12</f>
        <v/>
      </c>
      <c r="N18" s="13">
        <f>MIN(H18+L18,O17+M18)</f>
        <v/>
      </c>
      <c r="O18" s="13">
        <f>MAX(0,O17+M18-N18)</f>
        <v/>
      </c>
    </row>
    <row r="19">
      <c r="A19" s="11" t="n">
        <v>46631</v>
      </c>
      <c r="B19" s="15">
        <f>IF(MONTH(A19)=4,B18*(1+Inputs!$B$6),B18)</f>
        <v/>
      </c>
      <c r="C19" s="15">
        <f>IF(AND(MONTH(A19)=4,YEAR(A19)&gt;=Inputs!$B$20),C18*(1+Inputs!$B$21),C18)</f>
        <v/>
      </c>
      <c r="D19" s="15">
        <f>IF(AND(MONTH(A19)=4,YEAR(A19)&gt;=Inputs!$B$20),D18*(1+Inputs!$B$21),D18)</f>
        <v/>
      </c>
      <c r="E19" s="12">
        <f>VLOOKUP(A19,Inputs!$A$53:$C$55,2,TRUE)</f>
        <v/>
      </c>
      <c r="F19" s="12">
        <f>VLOOKUP(A19,Inputs!$A$53:$C$55,3,TRUE)</f>
        <v/>
      </c>
      <c r="G19" s="12">
        <f>MIN(F19,E19+0.03*MAX(0,MIN(1,(B19-C19)/(D19-C19))))</f>
        <v/>
      </c>
      <c r="H19" s="13">
        <f>MAX(0,0.09*(B19-C19)/12)</f>
        <v/>
      </c>
      <c r="I19" s="13">
        <f>K18*G19/12</f>
        <v/>
      </c>
      <c r="J19" s="13">
        <f>MIN(H19,K18+I19)</f>
        <v/>
      </c>
      <c r="K19" s="13">
        <f>MAX(0,K18+I19-J19)</f>
        <v/>
      </c>
      <c r="L19" s="13">
        <f>Inputs!$B$7+IF(AND(YEAR(A19)=YEAR(Inputs!$B$9),MONTH(A19)=MONTH(Inputs!$B$9)),Inputs!$B$8,0)</f>
        <v/>
      </c>
      <c r="M19" s="13">
        <f>O18*G19/12</f>
        <v/>
      </c>
      <c r="N19" s="13">
        <f>MIN(H19+L19,O18+M19)</f>
        <v/>
      </c>
      <c r="O19" s="13">
        <f>MAX(0,O18+M19-N19)</f>
        <v/>
      </c>
    </row>
    <row r="20">
      <c r="A20" s="11" t="n">
        <v>46661</v>
      </c>
      <c r="B20" s="15">
        <f>IF(MONTH(A20)=4,B19*(1+Inputs!$B$6),B19)</f>
        <v/>
      </c>
      <c r="C20" s="15">
        <f>IF(AND(MONTH(A20)=4,YEAR(A20)&gt;=Inputs!$B$20),C19*(1+Inputs!$B$21),C19)</f>
        <v/>
      </c>
      <c r="D20" s="15">
        <f>IF(AND(MONTH(A20)=4,YEAR(A20)&gt;=Inputs!$B$20),D19*(1+Inputs!$B$21),D19)</f>
        <v/>
      </c>
      <c r="E20" s="12">
        <f>VLOOKUP(A20,Inputs!$A$53:$C$55,2,TRUE)</f>
        <v/>
      </c>
      <c r="F20" s="12">
        <f>VLOOKUP(A20,Inputs!$A$53:$C$55,3,TRUE)</f>
        <v/>
      </c>
      <c r="G20" s="12">
        <f>MIN(F20,E20+0.03*MAX(0,MIN(1,(B20-C20)/(D20-C20))))</f>
        <v/>
      </c>
      <c r="H20" s="13">
        <f>MAX(0,0.09*(B20-C20)/12)</f>
        <v/>
      </c>
      <c r="I20" s="13">
        <f>K19*G20/12</f>
        <v/>
      </c>
      <c r="J20" s="13">
        <f>MIN(H20,K19+I20)</f>
        <v/>
      </c>
      <c r="K20" s="13">
        <f>MAX(0,K19+I20-J20)</f>
        <v/>
      </c>
      <c r="L20" s="13">
        <f>Inputs!$B$7+IF(AND(YEAR(A20)=YEAR(Inputs!$B$9),MONTH(A20)=MONTH(Inputs!$B$9)),Inputs!$B$8,0)</f>
        <v/>
      </c>
      <c r="M20" s="13">
        <f>O19*G20/12</f>
        <v/>
      </c>
      <c r="N20" s="13">
        <f>MIN(H20+L20,O19+M20)</f>
        <v/>
      </c>
      <c r="O20" s="13">
        <f>MAX(0,O19+M20-N20)</f>
        <v/>
      </c>
    </row>
    <row r="21">
      <c r="A21" s="11" t="n">
        <v>46692</v>
      </c>
      <c r="B21" s="15">
        <f>IF(MONTH(A21)=4,B20*(1+Inputs!$B$6),B20)</f>
        <v/>
      </c>
      <c r="C21" s="15">
        <f>IF(AND(MONTH(A21)=4,YEAR(A21)&gt;=Inputs!$B$20),C20*(1+Inputs!$B$21),C20)</f>
        <v/>
      </c>
      <c r="D21" s="15">
        <f>IF(AND(MONTH(A21)=4,YEAR(A21)&gt;=Inputs!$B$20),D20*(1+Inputs!$B$21),D20)</f>
        <v/>
      </c>
      <c r="E21" s="12">
        <f>VLOOKUP(A21,Inputs!$A$53:$C$55,2,TRUE)</f>
        <v/>
      </c>
      <c r="F21" s="12">
        <f>VLOOKUP(A21,Inputs!$A$53:$C$55,3,TRUE)</f>
        <v/>
      </c>
      <c r="G21" s="12">
        <f>MIN(F21,E21+0.03*MAX(0,MIN(1,(B21-C21)/(D21-C21))))</f>
        <v/>
      </c>
      <c r="H21" s="13">
        <f>MAX(0,0.09*(B21-C21)/12)</f>
        <v/>
      </c>
      <c r="I21" s="13">
        <f>K20*G21/12</f>
        <v/>
      </c>
      <c r="J21" s="13">
        <f>MIN(H21,K20+I21)</f>
        <v/>
      </c>
      <c r="K21" s="13">
        <f>MAX(0,K20+I21-J21)</f>
        <v/>
      </c>
      <c r="L21" s="13">
        <f>Inputs!$B$7+IF(AND(YEAR(A21)=YEAR(Inputs!$B$9),MONTH(A21)=MONTH(Inputs!$B$9)),Inputs!$B$8,0)</f>
        <v/>
      </c>
      <c r="M21" s="13">
        <f>O20*G21/12</f>
        <v/>
      </c>
      <c r="N21" s="13">
        <f>MIN(H21+L21,O20+M21)</f>
        <v/>
      </c>
      <c r="O21" s="13">
        <f>MAX(0,O20+M21-N21)</f>
        <v/>
      </c>
    </row>
    <row r="22">
      <c r="A22" s="11" t="n">
        <v>46722</v>
      </c>
      <c r="B22" s="15">
        <f>IF(MONTH(A22)=4,B21*(1+Inputs!$B$6),B21)</f>
        <v/>
      </c>
      <c r="C22" s="15">
        <f>IF(AND(MONTH(A22)=4,YEAR(A22)&gt;=Inputs!$B$20),C21*(1+Inputs!$B$21),C21)</f>
        <v/>
      </c>
      <c r="D22" s="15">
        <f>IF(AND(MONTH(A22)=4,YEAR(A22)&gt;=Inputs!$B$20),D21*(1+Inputs!$B$21),D21)</f>
        <v/>
      </c>
      <c r="E22" s="12">
        <f>VLOOKUP(A22,Inputs!$A$53:$C$55,2,TRUE)</f>
        <v/>
      </c>
      <c r="F22" s="12">
        <f>VLOOKUP(A22,Inputs!$A$53:$C$55,3,TRUE)</f>
        <v/>
      </c>
      <c r="G22" s="12">
        <f>MIN(F22,E22+0.03*MAX(0,MIN(1,(B22-C22)/(D22-C22))))</f>
        <v/>
      </c>
      <c r="H22" s="13">
        <f>MAX(0,0.09*(B22-C22)/12)</f>
        <v/>
      </c>
      <c r="I22" s="13">
        <f>K21*G22/12</f>
        <v/>
      </c>
      <c r="J22" s="13">
        <f>MIN(H22,K21+I22)</f>
        <v/>
      </c>
      <c r="K22" s="13">
        <f>MAX(0,K21+I22-J22)</f>
        <v/>
      </c>
      <c r="L22" s="13">
        <f>Inputs!$B$7+IF(AND(YEAR(A22)=YEAR(Inputs!$B$9),MONTH(A22)=MONTH(Inputs!$B$9)),Inputs!$B$8,0)</f>
        <v/>
      </c>
      <c r="M22" s="13">
        <f>O21*G22/12</f>
        <v/>
      </c>
      <c r="N22" s="13">
        <f>MIN(H22+L22,O21+M22)</f>
        <v/>
      </c>
      <c r="O22" s="13">
        <f>MAX(0,O21+M22-N22)</f>
        <v/>
      </c>
    </row>
    <row r="23">
      <c r="A23" s="11" t="n">
        <v>46753</v>
      </c>
      <c r="B23" s="15">
        <f>IF(MONTH(A23)=4,B22*(1+Inputs!$B$6),B22)</f>
        <v/>
      </c>
      <c r="C23" s="15">
        <f>IF(AND(MONTH(A23)=4,YEAR(A23)&gt;=Inputs!$B$20),C22*(1+Inputs!$B$21),C22)</f>
        <v/>
      </c>
      <c r="D23" s="15">
        <f>IF(AND(MONTH(A23)=4,YEAR(A23)&gt;=Inputs!$B$20),D22*(1+Inputs!$B$21),D22)</f>
        <v/>
      </c>
      <c r="E23" s="12">
        <f>VLOOKUP(A23,Inputs!$A$53:$C$55,2,TRUE)</f>
        <v/>
      </c>
      <c r="F23" s="12">
        <f>VLOOKUP(A23,Inputs!$A$53:$C$55,3,TRUE)</f>
        <v/>
      </c>
      <c r="G23" s="12">
        <f>MIN(F23,E23+0.03*MAX(0,MIN(1,(B23-C23)/(D23-C23))))</f>
        <v/>
      </c>
      <c r="H23" s="13">
        <f>MAX(0,0.09*(B23-C23)/12)</f>
        <v/>
      </c>
      <c r="I23" s="13">
        <f>K22*G23/12</f>
        <v/>
      </c>
      <c r="J23" s="13">
        <f>MIN(H23,K22+I23)</f>
        <v/>
      </c>
      <c r="K23" s="13">
        <f>MAX(0,K22+I23-J23)</f>
        <v/>
      </c>
      <c r="L23" s="13">
        <f>Inputs!$B$7+IF(AND(YEAR(A23)=YEAR(Inputs!$B$9),MONTH(A23)=MONTH(Inputs!$B$9)),Inputs!$B$8,0)</f>
        <v/>
      </c>
      <c r="M23" s="13">
        <f>O22*G23/12</f>
        <v/>
      </c>
      <c r="N23" s="13">
        <f>MIN(H23+L23,O22+M23)</f>
        <v/>
      </c>
      <c r="O23" s="13">
        <f>MAX(0,O22+M23-N23)</f>
        <v/>
      </c>
    </row>
    <row r="24">
      <c r="A24" s="11" t="n">
        <v>46784</v>
      </c>
      <c r="B24" s="15">
        <f>IF(MONTH(A24)=4,B23*(1+Inputs!$B$6),B23)</f>
        <v/>
      </c>
      <c r="C24" s="15">
        <f>IF(AND(MONTH(A24)=4,YEAR(A24)&gt;=Inputs!$B$20),C23*(1+Inputs!$B$21),C23)</f>
        <v/>
      </c>
      <c r="D24" s="15">
        <f>IF(AND(MONTH(A24)=4,YEAR(A24)&gt;=Inputs!$B$20),D23*(1+Inputs!$B$21),D23)</f>
        <v/>
      </c>
      <c r="E24" s="12">
        <f>VLOOKUP(A24,Inputs!$A$53:$C$55,2,TRUE)</f>
        <v/>
      </c>
      <c r="F24" s="12">
        <f>VLOOKUP(A24,Inputs!$A$53:$C$55,3,TRUE)</f>
        <v/>
      </c>
      <c r="G24" s="12">
        <f>MIN(F24,E24+0.03*MAX(0,MIN(1,(B24-C24)/(D24-C24))))</f>
        <v/>
      </c>
      <c r="H24" s="13">
        <f>MAX(0,0.09*(B24-C24)/12)</f>
        <v/>
      </c>
      <c r="I24" s="13">
        <f>K23*G24/12</f>
        <v/>
      </c>
      <c r="J24" s="13">
        <f>MIN(H24,K23+I24)</f>
        <v/>
      </c>
      <c r="K24" s="13">
        <f>MAX(0,K23+I24-J24)</f>
        <v/>
      </c>
      <c r="L24" s="13">
        <f>Inputs!$B$7+IF(AND(YEAR(A24)=YEAR(Inputs!$B$9),MONTH(A24)=MONTH(Inputs!$B$9)),Inputs!$B$8,0)</f>
        <v/>
      </c>
      <c r="M24" s="13">
        <f>O23*G24/12</f>
        <v/>
      </c>
      <c r="N24" s="13">
        <f>MIN(H24+L24,O23+M24)</f>
        <v/>
      </c>
      <c r="O24" s="13">
        <f>MAX(0,O23+M24-N24)</f>
        <v/>
      </c>
    </row>
    <row r="25">
      <c r="A25" s="11" t="n">
        <v>46813</v>
      </c>
      <c r="B25" s="15">
        <f>IF(MONTH(A25)=4,B24*(1+Inputs!$B$6),B24)</f>
        <v/>
      </c>
      <c r="C25" s="15">
        <f>IF(AND(MONTH(A25)=4,YEAR(A25)&gt;=Inputs!$B$20),C24*(1+Inputs!$B$21),C24)</f>
        <v/>
      </c>
      <c r="D25" s="15">
        <f>IF(AND(MONTH(A25)=4,YEAR(A25)&gt;=Inputs!$B$20),D24*(1+Inputs!$B$21),D24)</f>
        <v/>
      </c>
      <c r="E25" s="12">
        <f>VLOOKUP(A25,Inputs!$A$53:$C$55,2,TRUE)</f>
        <v/>
      </c>
      <c r="F25" s="12">
        <f>VLOOKUP(A25,Inputs!$A$53:$C$55,3,TRUE)</f>
        <v/>
      </c>
      <c r="G25" s="12">
        <f>MIN(F25,E25+0.03*MAX(0,MIN(1,(B25-C25)/(D25-C25))))</f>
        <v/>
      </c>
      <c r="H25" s="13">
        <f>MAX(0,0.09*(B25-C25)/12)</f>
        <v/>
      </c>
      <c r="I25" s="13">
        <f>K24*G25/12</f>
        <v/>
      </c>
      <c r="J25" s="13">
        <f>MIN(H25,K24+I25)</f>
        <v/>
      </c>
      <c r="K25" s="13">
        <f>MAX(0,K24+I25-J25)</f>
        <v/>
      </c>
      <c r="L25" s="13">
        <f>Inputs!$B$7+IF(AND(YEAR(A25)=YEAR(Inputs!$B$9),MONTH(A25)=MONTH(Inputs!$B$9)),Inputs!$B$8,0)</f>
        <v/>
      </c>
      <c r="M25" s="13">
        <f>O24*G25/12</f>
        <v/>
      </c>
      <c r="N25" s="13">
        <f>MIN(H25+L25,O24+M25)</f>
        <v/>
      </c>
      <c r="O25" s="13">
        <f>MAX(0,O24+M25-N25)</f>
        <v/>
      </c>
    </row>
    <row r="26">
      <c r="A26" s="11" t="n">
        <v>46844</v>
      </c>
      <c r="B26" s="15">
        <f>IF(MONTH(A26)=4,B25*(1+Inputs!$B$6),B25)</f>
        <v/>
      </c>
      <c r="C26" s="15">
        <f>IF(AND(MONTH(A26)=4,YEAR(A26)&gt;=Inputs!$B$20),C25*(1+Inputs!$B$21),C25)</f>
        <v/>
      </c>
      <c r="D26" s="15">
        <f>IF(AND(MONTH(A26)=4,YEAR(A26)&gt;=Inputs!$B$20),D25*(1+Inputs!$B$21),D25)</f>
        <v/>
      </c>
      <c r="E26" s="12">
        <f>VLOOKUP(A26,Inputs!$A$53:$C$55,2,TRUE)</f>
        <v/>
      </c>
      <c r="F26" s="12">
        <f>VLOOKUP(A26,Inputs!$A$53:$C$55,3,TRUE)</f>
        <v/>
      </c>
      <c r="G26" s="12">
        <f>MIN(F26,E26+0.03*MAX(0,MIN(1,(B26-C26)/(D26-C26))))</f>
        <v/>
      </c>
      <c r="H26" s="13">
        <f>MAX(0,0.09*(B26-C26)/12)</f>
        <v/>
      </c>
      <c r="I26" s="13">
        <f>K25*G26/12</f>
        <v/>
      </c>
      <c r="J26" s="13">
        <f>MIN(H26,K25+I26)</f>
        <v/>
      </c>
      <c r="K26" s="13">
        <f>MAX(0,K25+I26-J26)</f>
        <v/>
      </c>
      <c r="L26" s="13">
        <f>Inputs!$B$7+IF(AND(YEAR(A26)=YEAR(Inputs!$B$9),MONTH(A26)=MONTH(Inputs!$B$9)),Inputs!$B$8,0)</f>
        <v/>
      </c>
      <c r="M26" s="13">
        <f>O25*G26/12</f>
        <v/>
      </c>
      <c r="N26" s="13">
        <f>MIN(H26+L26,O25+M26)</f>
        <v/>
      </c>
      <c r="O26" s="13">
        <f>MAX(0,O25+M26-N26)</f>
        <v/>
      </c>
    </row>
    <row r="27">
      <c r="A27" s="11" t="n">
        <v>46874</v>
      </c>
      <c r="B27" s="15">
        <f>IF(MONTH(A27)=4,B26*(1+Inputs!$B$6),B26)</f>
        <v/>
      </c>
      <c r="C27" s="15">
        <f>IF(AND(MONTH(A27)=4,YEAR(A27)&gt;=Inputs!$B$20),C26*(1+Inputs!$B$21),C26)</f>
        <v/>
      </c>
      <c r="D27" s="15">
        <f>IF(AND(MONTH(A27)=4,YEAR(A27)&gt;=Inputs!$B$20),D26*(1+Inputs!$B$21),D26)</f>
        <v/>
      </c>
      <c r="E27" s="12">
        <f>VLOOKUP(A27,Inputs!$A$53:$C$55,2,TRUE)</f>
        <v/>
      </c>
      <c r="F27" s="12">
        <f>VLOOKUP(A27,Inputs!$A$53:$C$55,3,TRUE)</f>
        <v/>
      </c>
      <c r="G27" s="12">
        <f>MIN(F27,E27+0.03*MAX(0,MIN(1,(B27-C27)/(D27-C27))))</f>
        <v/>
      </c>
      <c r="H27" s="13">
        <f>MAX(0,0.09*(B27-C27)/12)</f>
        <v/>
      </c>
      <c r="I27" s="13">
        <f>K26*G27/12</f>
        <v/>
      </c>
      <c r="J27" s="13">
        <f>MIN(H27,K26+I27)</f>
        <v/>
      </c>
      <c r="K27" s="13">
        <f>MAX(0,K26+I27-J27)</f>
        <v/>
      </c>
      <c r="L27" s="13">
        <f>Inputs!$B$7+IF(AND(YEAR(A27)=YEAR(Inputs!$B$9),MONTH(A27)=MONTH(Inputs!$B$9)),Inputs!$B$8,0)</f>
        <v/>
      </c>
      <c r="M27" s="13">
        <f>O26*G27/12</f>
        <v/>
      </c>
      <c r="N27" s="13">
        <f>MIN(H27+L27,O26+M27)</f>
        <v/>
      </c>
      <c r="O27" s="13">
        <f>MAX(0,O26+M27-N27)</f>
        <v/>
      </c>
    </row>
    <row r="28">
      <c r="A28" s="11" t="n">
        <v>46905</v>
      </c>
      <c r="B28" s="15">
        <f>IF(MONTH(A28)=4,B27*(1+Inputs!$B$6),B27)</f>
        <v/>
      </c>
      <c r="C28" s="15">
        <f>IF(AND(MONTH(A28)=4,YEAR(A28)&gt;=Inputs!$B$20),C27*(1+Inputs!$B$21),C27)</f>
        <v/>
      </c>
      <c r="D28" s="15">
        <f>IF(AND(MONTH(A28)=4,YEAR(A28)&gt;=Inputs!$B$20),D27*(1+Inputs!$B$21),D27)</f>
        <v/>
      </c>
      <c r="E28" s="12">
        <f>VLOOKUP(A28,Inputs!$A$53:$C$55,2,TRUE)</f>
        <v/>
      </c>
      <c r="F28" s="12">
        <f>VLOOKUP(A28,Inputs!$A$53:$C$55,3,TRUE)</f>
        <v/>
      </c>
      <c r="G28" s="12">
        <f>MIN(F28,E28+0.03*MAX(0,MIN(1,(B28-C28)/(D28-C28))))</f>
        <v/>
      </c>
      <c r="H28" s="13">
        <f>MAX(0,0.09*(B28-C28)/12)</f>
        <v/>
      </c>
      <c r="I28" s="13">
        <f>K27*G28/12</f>
        <v/>
      </c>
      <c r="J28" s="13">
        <f>MIN(H28,K27+I28)</f>
        <v/>
      </c>
      <c r="K28" s="13">
        <f>MAX(0,K27+I28-J28)</f>
        <v/>
      </c>
      <c r="L28" s="13">
        <f>Inputs!$B$7+IF(AND(YEAR(A28)=YEAR(Inputs!$B$9),MONTH(A28)=MONTH(Inputs!$B$9)),Inputs!$B$8,0)</f>
        <v/>
      </c>
      <c r="M28" s="13">
        <f>O27*G28/12</f>
        <v/>
      </c>
      <c r="N28" s="13">
        <f>MIN(H28+L28,O27+M28)</f>
        <v/>
      </c>
      <c r="O28" s="13">
        <f>MAX(0,O27+M28-N28)</f>
        <v/>
      </c>
    </row>
    <row r="29">
      <c r="A29" s="11" t="n">
        <v>46935</v>
      </c>
      <c r="B29" s="15">
        <f>IF(MONTH(A29)=4,B28*(1+Inputs!$B$6),B28)</f>
        <v/>
      </c>
      <c r="C29" s="15">
        <f>IF(AND(MONTH(A29)=4,YEAR(A29)&gt;=Inputs!$B$20),C28*(1+Inputs!$B$21),C28)</f>
        <v/>
      </c>
      <c r="D29" s="15">
        <f>IF(AND(MONTH(A29)=4,YEAR(A29)&gt;=Inputs!$B$20),D28*(1+Inputs!$B$21),D28)</f>
        <v/>
      </c>
      <c r="E29" s="12">
        <f>VLOOKUP(A29,Inputs!$A$53:$C$55,2,TRUE)</f>
        <v/>
      </c>
      <c r="F29" s="12">
        <f>VLOOKUP(A29,Inputs!$A$53:$C$55,3,TRUE)</f>
        <v/>
      </c>
      <c r="G29" s="12">
        <f>MIN(F29,E29+0.03*MAX(0,MIN(1,(B29-C29)/(D29-C29))))</f>
        <v/>
      </c>
      <c r="H29" s="13">
        <f>MAX(0,0.09*(B29-C29)/12)</f>
        <v/>
      </c>
      <c r="I29" s="13">
        <f>K28*G29/12</f>
        <v/>
      </c>
      <c r="J29" s="13">
        <f>MIN(H29,K28+I29)</f>
        <v/>
      </c>
      <c r="K29" s="13">
        <f>MAX(0,K28+I29-J29)</f>
        <v/>
      </c>
      <c r="L29" s="13">
        <f>Inputs!$B$7+IF(AND(YEAR(A29)=YEAR(Inputs!$B$9),MONTH(A29)=MONTH(Inputs!$B$9)),Inputs!$B$8,0)</f>
        <v/>
      </c>
      <c r="M29" s="13">
        <f>O28*G29/12</f>
        <v/>
      </c>
      <c r="N29" s="13">
        <f>MIN(H29+L29,O28+M29)</f>
        <v/>
      </c>
      <c r="O29" s="13">
        <f>MAX(0,O28+M29-N29)</f>
        <v/>
      </c>
    </row>
    <row r="30">
      <c r="A30" s="11" t="n">
        <v>46966</v>
      </c>
      <c r="B30" s="15">
        <f>IF(MONTH(A30)=4,B29*(1+Inputs!$B$6),B29)</f>
        <v/>
      </c>
      <c r="C30" s="15">
        <f>IF(AND(MONTH(A30)=4,YEAR(A30)&gt;=Inputs!$B$20),C29*(1+Inputs!$B$21),C29)</f>
        <v/>
      </c>
      <c r="D30" s="15">
        <f>IF(AND(MONTH(A30)=4,YEAR(A30)&gt;=Inputs!$B$20),D29*(1+Inputs!$B$21),D29)</f>
        <v/>
      </c>
      <c r="E30" s="12">
        <f>VLOOKUP(A30,Inputs!$A$53:$C$55,2,TRUE)</f>
        <v/>
      </c>
      <c r="F30" s="12">
        <f>VLOOKUP(A30,Inputs!$A$53:$C$55,3,TRUE)</f>
        <v/>
      </c>
      <c r="G30" s="12">
        <f>MIN(F30,E30+0.03*MAX(0,MIN(1,(B30-C30)/(D30-C30))))</f>
        <v/>
      </c>
      <c r="H30" s="13">
        <f>MAX(0,0.09*(B30-C30)/12)</f>
        <v/>
      </c>
      <c r="I30" s="13">
        <f>K29*G30/12</f>
        <v/>
      </c>
      <c r="J30" s="13">
        <f>MIN(H30,K29+I30)</f>
        <v/>
      </c>
      <c r="K30" s="13">
        <f>MAX(0,K29+I30-J30)</f>
        <v/>
      </c>
      <c r="L30" s="13">
        <f>Inputs!$B$7+IF(AND(YEAR(A30)=YEAR(Inputs!$B$9),MONTH(A30)=MONTH(Inputs!$B$9)),Inputs!$B$8,0)</f>
        <v/>
      </c>
      <c r="M30" s="13">
        <f>O29*G30/12</f>
        <v/>
      </c>
      <c r="N30" s="13">
        <f>MIN(H30+L30,O29+M30)</f>
        <v/>
      </c>
      <c r="O30" s="13">
        <f>MAX(0,O29+M30-N30)</f>
        <v/>
      </c>
    </row>
    <row r="31">
      <c r="A31" s="11" t="n">
        <v>46997</v>
      </c>
      <c r="B31" s="15">
        <f>IF(MONTH(A31)=4,B30*(1+Inputs!$B$6),B30)</f>
        <v/>
      </c>
      <c r="C31" s="15">
        <f>IF(AND(MONTH(A31)=4,YEAR(A31)&gt;=Inputs!$B$20),C30*(1+Inputs!$B$21),C30)</f>
        <v/>
      </c>
      <c r="D31" s="15">
        <f>IF(AND(MONTH(A31)=4,YEAR(A31)&gt;=Inputs!$B$20),D30*(1+Inputs!$B$21),D30)</f>
        <v/>
      </c>
      <c r="E31" s="12">
        <f>VLOOKUP(A31,Inputs!$A$53:$C$55,2,TRUE)</f>
        <v/>
      </c>
      <c r="F31" s="12">
        <f>VLOOKUP(A31,Inputs!$A$53:$C$55,3,TRUE)</f>
        <v/>
      </c>
      <c r="G31" s="12">
        <f>MIN(F31,E31+0.03*MAX(0,MIN(1,(B31-C31)/(D31-C31))))</f>
        <v/>
      </c>
      <c r="H31" s="13">
        <f>MAX(0,0.09*(B31-C31)/12)</f>
        <v/>
      </c>
      <c r="I31" s="13">
        <f>K30*G31/12</f>
        <v/>
      </c>
      <c r="J31" s="13">
        <f>MIN(H31,K30+I31)</f>
        <v/>
      </c>
      <c r="K31" s="13">
        <f>MAX(0,K30+I31-J31)</f>
        <v/>
      </c>
      <c r="L31" s="13">
        <f>Inputs!$B$7+IF(AND(YEAR(A31)=YEAR(Inputs!$B$9),MONTH(A31)=MONTH(Inputs!$B$9)),Inputs!$B$8,0)</f>
        <v/>
      </c>
      <c r="M31" s="13">
        <f>O30*G31/12</f>
        <v/>
      </c>
      <c r="N31" s="13">
        <f>MIN(H31+L31,O30+M31)</f>
        <v/>
      </c>
      <c r="O31" s="13">
        <f>MAX(0,O30+M31-N31)</f>
        <v/>
      </c>
    </row>
    <row r="32">
      <c r="A32" s="11" t="n">
        <v>47027</v>
      </c>
      <c r="B32" s="15">
        <f>IF(MONTH(A32)=4,B31*(1+Inputs!$B$6),B31)</f>
        <v/>
      </c>
      <c r="C32" s="15">
        <f>IF(AND(MONTH(A32)=4,YEAR(A32)&gt;=Inputs!$B$20),C31*(1+Inputs!$B$21),C31)</f>
        <v/>
      </c>
      <c r="D32" s="15">
        <f>IF(AND(MONTH(A32)=4,YEAR(A32)&gt;=Inputs!$B$20),D31*(1+Inputs!$B$21),D31)</f>
        <v/>
      </c>
      <c r="E32" s="12">
        <f>VLOOKUP(A32,Inputs!$A$53:$C$55,2,TRUE)</f>
        <v/>
      </c>
      <c r="F32" s="12">
        <f>VLOOKUP(A32,Inputs!$A$53:$C$55,3,TRUE)</f>
        <v/>
      </c>
      <c r="G32" s="12">
        <f>MIN(F32,E32+0.03*MAX(0,MIN(1,(B32-C32)/(D32-C32))))</f>
        <v/>
      </c>
      <c r="H32" s="13">
        <f>MAX(0,0.09*(B32-C32)/12)</f>
        <v/>
      </c>
      <c r="I32" s="13">
        <f>K31*G32/12</f>
        <v/>
      </c>
      <c r="J32" s="13">
        <f>MIN(H32,K31+I32)</f>
        <v/>
      </c>
      <c r="K32" s="13">
        <f>MAX(0,K31+I32-J32)</f>
        <v/>
      </c>
      <c r="L32" s="13">
        <f>Inputs!$B$7+IF(AND(YEAR(A32)=YEAR(Inputs!$B$9),MONTH(A32)=MONTH(Inputs!$B$9)),Inputs!$B$8,0)</f>
        <v/>
      </c>
      <c r="M32" s="13">
        <f>O31*G32/12</f>
        <v/>
      </c>
      <c r="N32" s="13">
        <f>MIN(H32+L32,O31+M32)</f>
        <v/>
      </c>
      <c r="O32" s="13">
        <f>MAX(0,O31+M32-N32)</f>
        <v/>
      </c>
    </row>
    <row r="33">
      <c r="A33" s="11" t="n">
        <v>47058</v>
      </c>
      <c r="B33" s="15">
        <f>IF(MONTH(A33)=4,B32*(1+Inputs!$B$6),B32)</f>
        <v/>
      </c>
      <c r="C33" s="15">
        <f>IF(AND(MONTH(A33)=4,YEAR(A33)&gt;=Inputs!$B$20),C32*(1+Inputs!$B$21),C32)</f>
        <v/>
      </c>
      <c r="D33" s="15">
        <f>IF(AND(MONTH(A33)=4,YEAR(A33)&gt;=Inputs!$B$20),D32*(1+Inputs!$B$21),D32)</f>
        <v/>
      </c>
      <c r="E33" s="12">
        <f>VLOOKUP(A33,Inputs!$A$53:$C$55,2,TRUE)</f>
        <v/>
      </c>
      <c r="F33" s="12">
        <f>VLOOKUP(A33,Inputs!$A$53:$C$55,3,TRUE)</f>
        <v/>
      </c>
      <c r="G33" s="12">
        <f>MIN(F33,E33+0.03*MAX(0,MIN(1,(B33-C33)/(D33-C33))))</f>
        <v/>
      </c>
      <c r="H33" s="13">
        <f>MAX(0,0.09*(B33-C33)/12)</f>
        <v/>
      </c>
      <c r="I33" s="13">
        <f>K32*G33/12</f>
        <v/>
      </c>
      <c r="J33" s="13">
        <f>MIN(H33,K32+I33)</f>
        <v/>
      </c>
      <c r="K33" s="13">
        <f>MAX(0,K32+I33-J33)</f>
        <v/>
      </c>
      <c r="L33" s="13">
        <f>Inputs!$B$7+IF(AND(YEAR(A33)=YEAR(Inputs!$B$9),MONTH(A33)=MONTH(Inputs!$B$9)),Inputs!$B$8,0)</f>
        <v/>
      </c>
      <c r="M33" s="13">
        <f>O32*G33/12</f>
        <v/>
      </c>
      <c r="N33" s="13">
        <f>MIN(H33+L33,O32+M33)</f>
        <v/>
      </c>
      <c r="O33" s="13">
        <f>MAX(0,O32+M33-N33)</f>
        <v/>
      </c>
    </row>
    <row r="34">
      <c r="A34" s="11" t="n">
        <v>47088</v>
      </c>
      <c r="B34" s="15">
        <f>IF(MONTH(A34)=4,B33*(1+Inputs!$B$6),B33)</f>
        <v/>
      </c>
      <c r="C34" s="15">
        <f>IF(AND(MONTH(A34)=4,YEAR(A34)&gt;=Inputs!$B$20),C33*(1+Inputs!$B$21),C33)</f>
        <v/>
      </c>
      <c r="D34" s="15">
        <f>IF(AND(MONTH(A34)=4,YEAR(A34)&gt;=Inputs!$B$20),D33*(1+Inputs!$B$21),D33)</f>
        <v/>
      </c>
      <c r="E34" s="12">
        <f>VLOOKUP(A34,Inputs!$A$53:$C$55,2,TRUE)</f>
        <v/>
      </c>
      <c r="F34" s="12">
        <f>VLOOKUP(A34,Inputs!$A$53:$C$55,3,TRUE)</f>
        <v/>
      </c>
      <c r="G34" s="12">
        <f>MIN(F34,E34+0.03*MAX(0,MIN(1,(B34-C34)/(D34-C34))))</f>
        <v/>
      </c>
      <c r="H34" s="13">
        <f>MAX(0,0.09*(B34-C34)/12)</f>
        <v/>
      </c>
      <c r="I34" s="13">
        <f>K33*G34/12</f>
        <v/>
      </c>
      <c r="J34" s="13">
        <f>MIN(H34,K33+I34)</f>
        <v/>
      </c>
      <c r="K34" s="13">
        <f>MAX(0,K33+I34-J34)</f>
        <v/>
      </c>
      <c r="L34" s="13">
        <f>Inputs!$B$7+IF(AND(YEAR(A34)=YEAR(Inputs!$B$9),MONTH(A34)=MONTH(Inputs!$B$9)),Inputs!$B$8,0)</f>
        <v/>
      </c>
      <c r="M34" s="13">
        <f>O33*G34/12</f>
        <v/>
      </c>
      <c r="N34" s="13">
        <f>MIN(H34+L34,O33+M34)</f>
        <v/>
      </c>
      <c r="O34" s="13">
        <f>MAX(0,O33+M34-N34)</f>
        <v/>
      </c>
    </row>
    <row r="35">
      <c r="A35" s="11" t="n">
        <v>47119</v>
      </c>
      <c r="B35" s="15">
        <f>IF(MONTH(A35)=4,B34*(1+Inputs!$B$6),B34)</f>
        <v/>
      </c>
      <c r="C35" s="15">
        <f>IF(AND(MONTH(A35)=4,YEAR(A35)&gt;=Inputs!$B$20),C34*(1+Inputs!$B$21),C34)</f>
        <v/>
      </c>
      <c r="D35" s="15">
        <f>IF(AND(MONTH(A35)=4,YEAR(A35)&gt;=Inputs!$B$20),D34*(1+Inputs!$B$21),D34)</f>
        <v/>
      </c>
      <c r="E35" s="12">
        <f>VLOOKUP(A35,Inputs!$A$53:$C$55,2,TRUE)</f>
        <v/>
      </c>
      <c r="F35" s="12">
        <f>VLOOKUP(A35,Inputs!$A$53:$C$55,3,TRUE)</f>
        <v/>
      </c>
      <c r="G35" s="12">
        <f>MIN(F35,E35+0.03*MAX(0,MIN(1,(B35-C35)/(D35-C35))))</f>
        <v/>
      </c>
      <c r="H35" s="13">
        <f>MAX(0,0.09*(B35-C35)/12)</f>
        <v/>
      </c>
      <c r="I35" s="13">
        <f>K34*G35/12</f>
        <v/>
      </c>
      <c r="J35" s="13">
        <f>MIN(H35,K34+I35)</f>
        <v/>
      </c>
      <c r="K35" s="13">
        <f>MAX(0,K34+I35-J35)</f>
        <v/>
      </c>
      <c r="L35" s="13">
        <f>Inputs!$B$7+IF(AND(YEAR(A35)=YEAR(Inputs!$B$9),MONTH(A35)=MONTH(Inputs!$B$9)),Inputs!$B$8,0)</f>
        <v/>
      </c>
      <c r="M35" s="13">
        <f>O34*G35/12</f>
        <v/>
      </c>
      <c r="N35" s="13">
        <f>MIN(H35+L35,O34+M35)</f>
        <v/>
      </c>
      <c r="O35" s="13">
        <f>MAX(0,O34+M35-N35)</f>
        <v/>
      </c>
    </row>
    <row r="36">
      <c r="A36" s="11" t="n">
        <v>47150</v>
      </c>
      <c r="B36" s="15">
        <f>IF(MONTH(A36)=4,B35*(1+Inputs!$B$6),B35)</f>
        <v/>
      </c>
      <c r="C36" s="15">
        <f>IF(AND(MONTH(A36)=4,YEAR(A36)&gt;=Inputs!$B$20),C35*(1+Inputs!$B$21),C35)</f>
        <v/>
      </c>
      <c r="D36" s="15">
        <f>IF(AND(MONTH(A36)=4,YEAR(A36)&gt;=Inputs!$B$20),D35*(1+Inputs!$B$21),D35)</f>
        <v/>
      </c>
      <c r="E36" s="12">
        <f>VLOOKUP(A36,Inputs!$A$53:$C$55,2,TRUE)</f>
        <v/>
      </c>
      <c r="F36" s="12">
        <f>VLOOKUP(A36,Inputs!$A$53:$C$55,3,TRUE)</f>
        <v/>
      </c>
      <c r="G36" s="12">
        <f>MIN(F36,E36+0.03*MAX(0,MIN(1,(B36-C36)/(D36-C36))))</f>
        <v/>
      </c>
      <c r="H36" s="13">
        <f>MAX(0,0.09*(B36-C36)/12)</f>
        <v/>
      </c>
      <c r="I36" s="13">
        <f>K35*G36/12</f>
        <v/>
      </c>
      <c r="J36" s="13">
        <f>MIN(H36,K35+I36)</f>
        <v/>
      </c>
      <c r="K36" s="13">
        <f>MAX(0,K35+I36-J36)</f>
        <v/>
      </c>
      <c r="L36" s="13">
        <f>Inputs!$B$7+IF(AND(YEAR(A36)=YEAR(Inputs!$B$9),MONTH(A36)=MONTH(Inputs!$B$9)),Inputs!$B$8,0)</f>
        <v/>
      </c>
      <c r="M36" s="13">
        <f>O35*G36/12</f>
        <v/>
      </c>
      <c r="N36" s="13">
        <f>MIN(H36+L36,O35+M36)</f>
        <v/>
      </c>
      <c r="O36" s="13">
        <f>MAX(0,O35+M36-N36)</f>
        <v/>
      </c>
    </row>
    <row r="37">
      <c r="A37" s="11" t="n">
        <v>47178</v>
      </c>
      <c r="B37" s="15">
        <f>IF(MONTH(A37)=4,B36*(1+Inputs!$B$6),B36)</f>
        <v/>
      </c>
      <c r="C37" s="15">
        <f>IF(AND(MONTH(A37)=4,YEAR(A37)&gt;=Inputs!$B$20),C36*(1+Inputs!$B$21),C36)</f>
        <v/>
      </c>
      <c r="D37" s="15">
        <f>IF(AND(MONTH(A37)=4,YEAR(A37)&gt;=Inputs!$B$20),D36*(1+Inputs!$B$21),D36)</f>
        <v/>
      </c>
      <c r="E37" s="12">
        <f>VLOOKUP(A37,Inputs!$A$53:$C$55,2,TRUE)</f>
        <v/>
      </c>
      <c r="F37" s="12">
        <f>VLOOKUP(A37,Inputs!$A$53:$C$55,3,TRUE)</f>
        <v/>
      </c>
      <c r="G37" s="12">
        <f>MIN(F37,E37+0.03*MAX(0,MIN(1,(B37-C37)/(D37-C37))))</f>
        <v/>
      </c>
      <c r="H37" s="13">
        <f>MAX(0,0.09*(B37-C37)/12)</f>
        <v/>
      </c>
      <c r="I37" s="13">
        <f>K36*G37/12</f>
        <v/>
      </c>
      <c r="J37" s="13">
        <f>MIN(H37,K36+I37)</f>
        <v/>
      </c>
      <c r="K37" s="13">
        <f>MAX(0,K36+I37-J37)</f>
        <v/>
      </c>
      <c r="L37" s="13">
        <f>Inputs!$B$7+IF(AND(YEAR(A37)=YEAR(Inputs!$B$9),MONTH(A37)=MONTH(Inputs!$B$9)),Inputs!$B$8,0)</f>
        <v/>
      </c>
      <c r="M37" s="13">
        <f>O36*G37/12</f>
        <v/>
      </c>
      <c r="N37" s="13">
        <f>MIN(H37+L37,O36+M37)</f>
        <v/>
      </c>
      <c r="O37" s="13">
        <f>MAX(0,O36+M37-N37)</f>
        <v/>
      </c>
    </row>
    <row r="38">
      <c r="A38" s="11" t="n">
        <v>47209</v>
      </c>
      <c r="B38" s="15">
        <f>IF(MONTH(A38)=4,B37*(1+Inputs!$B$6),B37)</f>
        <v/>
      </c>
      <c r="C38" s="15">
        <f>IF(AND(MONTH(A38)=4,YEAR(A38)&gt;=Inputs!$B$20),C37*(1+Inputs!$B$21),C37)</f>
        <v/>
      </c>
      <c r="D38" s="15">
        <f>IF(AND(MONTH(A38)=4,YEAR(A38)&gt;=Inputs!$B$20),D37*(1+Inputs!$B$21),D37)</f>
        <v/>
      </c>
      <c r="E38" s="12">
        <f>VLOOKUP(A38,Inputs!$A$53:$C$55,2,TRUE)</f>
        <v/>
      </c>
      <c r="F38" s="12">
        <f>VLOOKUP(A38,Inputs!$A$53:$C$55,3,TRUE)</f>
        <v/>
      </c>
      <c r="G38" s="12">
        <f>MIN(F38,E38+0.03*MAX(0,MIN(1,(B38-C38)/(D38-C38))))</f>
        <v/>
      </c>
      <c r="H38" s="13">
        <f>MAX(0,0.09*(B38-C38)/12)</f>
        <v/>
      </c>
      <c r="I38" s="13">
        <f>K37*G38/12</f>
        <v/>
      </c>
      <c r="J38" s="13">
        <f>MIN(H38,K37+I38)</f>
        <v/>
      </c>
      <c r="K38" s="13">
        <f>MAX(0,K37+I38-J38)</f>
        <v/>
      </c>
      <c r="L38" s="13">
        <f>Inputs!$B$7+IF(AND(YEAR(A38)=YEAR(Inputs!$B$9),MONTH(A38)=MONTH(Inputs!$B$9)),Inputs!$B$8,0)</f>
        <v/>
      </c>
      <c r="M38" s="13">
        <f>O37*G38/12</f>
        <v/>
      </c>
      <c r="N38" s="13">
        <f>MIN(H38+L38,O37+M38)</f>
        <v/>
      </c>
      <c r="O38" s="13">
        <f>MAX(0,O37+M38-N38)</f>
        <v/>
      </c>
    </row>
    <row r="39">
      <c r="A39" s="11" t="n">
        <v>47239</v>
      </c>
      <c r="B39" s="15">
        <f>IF(MONTH(A39)=4,B38*(1+Inputs!$B$6),B38)</f>
        <v/>
      </c>
      <c r="C39" s="15">
        <f>IF(AND(MONTH(A39)=4,YEAR(A39)&gt;=Inputs!$B$20),C38*(1+Inputs!$B$21),C38)</f>
        <v/>
      </c>
      <c r="D39" s="15">
        <f>IF(AND(MONTH(A39)=4,YEAR(A39)&gt;=Inputs!$B$20),D38*(1+Inputs!$B$21),D38)</f>
        <v/>
      </c>
      <c r="E39" s="12">
        <f>VLOOKUP(A39,Inputs!$A$53:$C$55,2,TRUE)</f>
        <v/>
      </c>
      <c r="F39" s="12">
        <f>VLOOKUP(A39,Inputs!$A$53:$C$55,3,TRUE)</f>
        <v/>
      </c>
      <c r="G39" s="12">
        <f>MIN(F39,E39+0.03*MAX(0,MIN(1,(B39-C39)/(D39-C39))))</f>
        <v/>
      </c>
      <c r="H39" s="13">
        <f>MAX(0,0.09*(B39-C39)/12)</f>
        <v/>
      </c>
      <c r="I39" s="13">
        <f>K38*G39/12</f>
        <v/>
      </c>
      <c r="J39" s="13">
        <f>MIN(H39,K38+I39)</f>
        <v/>
      </c>
      <c r="K39" s="13">
        <f>MAX(0,K38+I39-J39)</f>
        <v/>
      </c>
      <c r="L39" s="13">
        <f>Inputs!$B$7+IF(AND(YEAR(A39)=YEAR(Inputs!$B$9),MONTH(A39)=MONTH(Inputs!$B$9)),Inputs!$B$8,0)</f>
        <v/>
      </c>
      <c r="M39" s="13">
        <f>O38*G39/12</f>
        <v/>
      </c>
      <c r="N39" s="13">
        <f>MIN(H39+L39,O38+M39)</f>
        <v/>
      </c>
      <c r="O39" s="13">
        <f>MAX(0,O38+M39-N39)</f>
        <v/>
      </c>
    </row>
    <row r="40">
      <c r="A40" s="11" t="n">
        <v>47270</v>
      </c>
      <c r="B40" s="15">
        <f>IF(MONTH(A40)=4,B39*(1+Inputs!$B$6),B39)</f>
        <v/>
      </c>
      <c r="C40" s="15">
        <f>IF(AND(MONTH(A40)=4,YEAR(A40)&gt;=Inputs!$B$20),C39*(1+Inputs!$B$21),C39)</f>
        <v/>
      </c>
      <c r="D40" s="15">
        <f>IF(AND(MONTH(A40)=4,YEAR(A40)&gt;=Inputs!$B$20),D39*(1+Inputs!$B$21),D39)</f>
        <v/>
      </c>
      <c r="E40" s="12">
        <f>VLOOKUP(A40,Inputs!$A$53:$C$55,2,TRUE)</f>
        <v/>
      </c>
      <c r="F40" s="12">
        <f>VLOOKUP(A40,Inputs!$A$53:$C$55,3,TRUE)</f>
        <v/>
      </c>
      <c r="G40" s="12">
        <f>MIN(F40,E40+0.03*MAX(0,MIN(1,(B40-C40)/(D40-C40))))</f>
        <v/>
      </c>
      <c r="H40" s="13">
        <f>MAX(0,0.09*(B40-C40)/12)</f>
        <v/>
      </c>
      <c r="I40" s="13">
        <f>K39*G40/12</f>
        <v/>
      </c>
      <c r="J40" s="13">
        <f>MIN(H40,K39+I40)</f>
        <v/>
      </c>
      <c r="K40" s="13">
        <f>MAX(0,K39+I40-J40)</f>
        <v/>
      </c>
      <c r="L40" s="13">
        <f>Inputs!$B$7+IF(AND(YEAR(A40)=YEAR(Inputs!$B$9),MONTH(A40)=MONTH(Inputs!$B$9)),Inputs!$B$8,0)</f>
        <v/>
      </c>
      <c r="M40" s="13">
        <f>O39*G40/12</f>
        <v/>
      </c>
      <c r="N40" s="13">
        <f>MIN(H40+L40,O39+M40)</f>
        <v/>
      </c>
      <c r="O40" s="13">
        <f>MAX(0,O39+M40-N40)</f>
        <v/>
      </c>
    </row>
    <row r="41">
      <c r="A41" s="11" t="n">
        <v>47300</v>
      </c>
      <c r="B41" s="15">
        <f>IF(MONTH(A41)=4,B40*(1+Inputs!$B$6),B40)</f>
        <v/>
      </c>
      <c r="C41" s="15">
        <f>IF(AND(MONTH(A41)=4,YEAR(A41)&gt;=Inputs!$B$20),C40*(1+Inputs!$B$21),C40)</f>
        <v/>
      </c>
      <c r="D41" s="15">
        <f>IF(AND(MONTH(A41)=4,YEAR(A41)&gt;=Inputs!$B$20),D40*(1+Inputs!$B$21),D40)</f>
        <v/>
      </c>
      <c r="E41" s="12">
        <f>VLOOKUP(A41,Inputs!$A$53:$C$55,2,TRUE)</f>
        <v/>
      </c>
      <c r="F41" s="12">
        <f>VLOOKUP(A41,Inputs!$A$53:$C$55,3,TRUE)</f>
        <v/>
      </c>
      <c r="G41" s="12">
        <f>MIN(F41,E41+0.03*MAX(0,MIN(1,(B41-C41)/(D41-C41))))</f>
        <v/>
      </c>
      <c r="H41" s="13">
        <f>MAX(0,0.09*(B41-C41)/12)</f>
        <v/>
      </c>
      <c r="I41" s="13">
        <f>K40*G41/12</f>
        <v/>
      </c>
      <c r="J41" s="13">
        <f>MIN(H41,K40+I41)</f>
        <v/>
      </c>
      <c r="K41" s="13">
        <f>MAX(0,K40+I41-J41)</f>
        <v/>
      </c>
      <c r="L41" s="13">
        <f>Inputs!$B$7+IF(AND(YEAR(A41)=YEAR(Inputs!$B$9),MONTH(A41)=MONTH(Inputs!$B$9)),Inputs!$B$8,0)</f>
        <v/>
      </c>
      <c r="M41" s="13">
        <f>O40*G41/12</f>
        <v/>
      </c>
      <c r="N41" s="13">
        <f>MIN(H41+L41,O40+M41)</f>
        <v/>
      </c>
      <c r="O41" s="13">
        <f>MAX(0,O40+M41-N41)</f>
        <v/>
      </c>
    </row>
    <row r="42">
      <c r="A42" s="11" t="n">
        <v>47331</v>
      </c>
      <c r="B42" s="15">
        <f>IF(MONTH(A42)=4,B41*(1+Inputs!$B$6),B41)</f>
        <v/>
      </c>
      <c r="C42" s="15">
        <f>IF(AND(MONTH(A42)=4,YEAR(A42)&gt;=Inputs!$B$20),C41*(1+Inputs!$B$21),C41)</f>
        <v/>
      </c>
      <c r="D42" s="15">
        <f>IF(AND(MONTH(A42)=4,YEAR(A42)&gt;=Inputs!$B$20),D41*(1+Inputs!$B$21),D41)</f>
        <v/>
      </c>
      <c r="E42" s="12">
        <f>VLOOKUP(A42,Inputs!$A$53:$C$55,2,TRUE)</f>
        <v/>
      </c>
      <c r="F42" s="12">
        <f>VLOOKUP(A42,Inputs!$A$53:$C$55,3,TRUE)</f>
        <v/>
      </c>
      <c r="G42" s="12">
        <f>MIN(F42,E42+0.03*MAX(0,MIN(1,(B42-C42)/(D42-C42))))</f>
        <v/>
      </c>
      <c r="H42" s="13">
        <f>MAX(0,0.09*(B42-C42)/12)</f>
        <v/>
      </c>
      <c r="I42" s="13">
        <f>K41*G42/12</f>
        <v/>
      </c>
      <c r="J42" s="13">
        <f>MIN(H42,K41+I42)</f>
        <v/>
      </c>
      <c r="K42" s="13">
        <f>MAX(0,K41+I42-J42)</f>
        <v/>
      </c>
      <c r="L42" s="13">
        <f>Inputs!$B$7+IF(AND(YEAR(A42)=YEAR(Inputs!$B$9),MONTH(A42)=MONTH(Inputs!$B$9)),Inputs!$B$8,0)</f>
        <v/>
      </c>
      <c r="M42" s="13">
        <f>O41*G42/12</f>
        <v/>
      </c>
      <c r="N42" s="13">
        <f>MIN(H42+L42,O41+M42)</f>
        <v/>
      </c>
      <c r="O42" s="13">
        <f>MAX(0,O41+M42-N42)</f>
        <v/>
      </c>
    </row>
    <row r="43">
      <c r="A43" s="11" t="n">
        <v>47362</v>
      </c>
      <c r="B43" s="15">
        <f>IF(MONTH(A43)=4,B42*(1+Inputs!$B$6),B42)</f>
        <v/>
      </c>
      <c r="C43" s="15">
        <f>IF(AND(MONTH(A43)=4,YEAR(A43)&gt;=Inputs!$B$20),C42*(1+Inputs!$B$21),C42)</f>
        <v/>
      </c>
      <c r="D43" s="15">
        <f>IF(AND(MONTH(A43)=4,YEAR(A43)&gt;=Inputs!$B$20),D42*(1+Inputs!$B$21),D42)</f>
        <v/>
      </c>
      <c r="E43" s="12">
        <f>VLOOKUP(A43,Inputs!$A$53:$C$55,2,TRUE)</f>
        <v/>
      </c>
      <c r="F43" s="12">
        <f>VLOOKUP(A43,Inputs!$A$53:$C$55,3,TRUE)</f>
        <v/>
      </c>
      <c r="G43" s="12">
        <f>MIN(F43,E43+0.03*MAX(0,MIN(1,(B43-C43)/(D43-C43))))</f>
        <v/>
      </c>
      <c r="H43" s="13">
        <f>MAX(0,0.09*(B43-C43)/12)</f>
        <v/>
      </c>
      <c r="I43" s="13">
        <f>K42*G43/12</f>
        <v/>
      </c>
      <c r="J43" s="13">
        <f>MIN(H43,K42+I43)</f>
        <v/>
      </c>
      <c r="K43" s="13">
        <f>MAX(0,K42+I43-J43)</f>
        <v/>
      </c>
      <c r="L43" s="13">
        <f>Inputs!$B$7+IF(AND(YEAR(A43)=YEAR(Inputs!$B$9),MONTH(A43)=MONTH(Inputs!$B$9)),Inputs!$B$8,0)</f>
        <v/>
      </c>
      <c r="M43" s="13">
        <f>O42*G43/12</f>
        <v/>
      </c>
      <c r="N43" s="13">
        <f>MIN(H43+L43,O42+M43)</f>
        <v/>
      </c>
      <c r="O43" s="13">
        <f>MAX(0,O42+M43-N43)</f>
        <v/>
      </c>
    </row>
    <row r="44">
      <c r="A44" s="11" t="n">
        <v>47392</v>
      </c>
      <c r="B44" s="15">
        <f>IF(MONTH(A44)=4,B43*(1+Inputs!$B$6),B43)</f>
        <v/>
      </c>
      <c r="C44" s="15">
        <f>IF(AND(MONTH(A44)=4,YEAR(A44)&gt;=Inputs!$B$20),C43*(1+Inputs!$B$21),C43)</f>
        <v/>
      </c>
      <c r="D44" s="15">
        <f>IF(AND(MONTH(A44)=4,YEAR(A44)&gt;=Inputs!$B$20),D43*(1+Inputs!$B$21),D43)</f>
        <v/>
      </c>
      <c r="E44" s="12">
        <f>VLOOKUP(A44,Inputs!$A$53:$C$55,2,TRUE)</f>
        <v/>
      </c>
      <c r="F44" s="12">
        <f>VLOOKUP(A44,Inputs!$A$53:$C$55,3,TRUE)</f>
        <v/>
      </c>
      <c r="G44" s="12">
        <f>MIN(F44,E44+0.03*MAX(0,MIN(1,(B44-C44)/(D44-C44))))</f>
        <v/>
      </c>
      <c r="H44" s="13">
        <f>MAX(0,0.09*(B44-C44)/12)</f>
        <v/>
      </c>
      <c r="I44" s="13">
        <f>K43*G44/12</f>
        <v/>
      </c>
      <c r="J44" s="13">
        <f>MIN(H44,K43+I44)</f>
        <v/>
      </c>
      <c r="K44" s="13">
        <f>MAX(0,K43+I44-J44)</f>
        <v/>
      </c>
      <c r="L44" s="13">
        <f>Inputs!$B$7+IF(AND(YEAR(A44)=YEAR(Inputs!$B$9),MONTH(A44)=MONTH(Inputs!$B$9)),Inputs!$B$8,0)</f>
        <v/>
      </c>
      <c r="M44" s="13">
        <f>O43*G44/12</f>
        <v/>
      </c>
      <c r="N44" s="13">
        <f>MIN(H44+L44,O43+M44)</f>
        <v/>
      </c>
      <c r="O44" s="13">
        <f>MAX(0,O43+M44-N44)</f>
        <v/>
      </c>
    </row>
    <row r="45">
      <c r="A45" s="11" t="n">
        <v>47423</v>
      </c>
      <c r="B45" s="15">
        <f>IF(MONTH(A45)=4,B44*(1+Inputs!$B$6),B44)</f>
        <v/>
      </c>
      <c r="C45" s="15">
        <f>IF(AND(MONTH(A45)=4,YEAR(A45)&gt;=Inputs!$B$20),C44*(1+Inputs!$B$21),C44)</f>
        <v/>
      </c>
      <c r="D45" s="15">
        <f>IF(AND(MONTH(A45)=4,YEAR(A45)&gt;=Inputs!$B$20),D44*(1+Inputs!$B$21),D44)</f>
        <v/>
      </c>
      <c r="E45" s="12">
        <f>VLOOKUP(A45,Inputs!$A$53:$C$55,2,TRUE)</f>
        <v/>
      </c>
      <c r="F45" s="12">
        <f>VLOOKUP(A45,Inputs!$A$53:$C$55,3,TRUE)</f>
        <v/>
      </c>
      <c r="G45" s="12">
        <f>MIN(F45,E45+0.03*MAX(0,MIN(1,(B45-C45)/(D45-C45))))</f>
        <v/>
      </c>
      <c r="H45" s="13">
        <f>MAX(0,0.09*(B45-C45)/12)</f>
        <v/>
      </c>
      <c r="I45" s="13">
        <f>K44*G45/12</f>
        <v/>
      </c>
      <c r="J45" s="13">
        <f>MIN(H45,K44+I45)</f>
        <v/>
      </c>
      <c r="K45" s="13">
        <f>MAX(0,K44+I45-J45)</f>
        <v/>
      </c>
      <c r="L45" s="13">
        <f>Inputs!$B$7+IF(AND(YEAR(A45)=YEAR(Inputs!$B$9),MONTH(A45)=MONTH(Inputs!$B$9)),Inputs!$B$8,0)</f>
        <v/>
      </c>
      <c r="M45" s="13">
        <f>O44*G45/12</f>
        <v/>
      </c>
      <c r="N45" s="13">
        <f>MIN(H45+L45,O44+M45)</f>
        <v/>
      </c>
      <c r="O45" s="13">
        <f>MAX(0,O44+M45-N45)</f>
        <v/>
      </c>
    </row>
    <row r="46">
      <c r="A46" s="11" t="n">
        <v>47453</v>
      </c>
      <c r="B46" s="15">
        <f>IF(MONTH(A46)=4,B45*(1+Inputs!$B$6),B45)</f>
        <v/>
      </c>
      <c r="C46" s="15">
        <f>IF(AND(MONTH(A46)=4,YEAR(A46)&gt;=Inputs!$B$20),C45*(1+Inputs!$B$21),C45)</f>
        <v/>
      </c>
      <c r="D46" s="15">
        <f>IF(AND(MONTH(A46)=4,YEAR(A46)&gt;=Inputs!$B$20),D45*(1+Inputs!$B$21),D45)</f>
        <v/>
      </c>
      <c r="E46" s="12">
        <f>VLOOKUP(A46,Inputs!$A$53:$C$55,2,TRUE)</f>
        <v/>
      </c>
      <c r="F46" s="12">
        <f>VLOOKUP(A46,Inputs!$A$53:$C$55,3,TRUE)</f>
        <v/>
      </c>
      <c r="G46" s="12">
        <f>MIN(F46,E46+0.03*MAX(0,MIN(1,(B46-C46)/(D46-C46))))</f>
        <v/>
      </c>
      <c r="H46" s="13">
        <f>MAX(0,0.09*(B46-C46)/12)</f>
        <v/>
      </c>
      <c r="I46" s="13">
        <f>K45*G46/12</f>
        <v/>
      </c>
      <c r="J46" s="13">
        <f>MIN(H46,K45+I46)</f>
        <v/>
      </c>
      <c r="K46" s="13">
        <f>MAX(0,K45+I46-J46)</f>
        <v/>
      </c>
      <c r="L46" s="13">
        <f>Inputs!$B$7+IF(AND(YEAR(A46)=YEAR(Inputs!$B$9),MONTH(A46)=MONTH(Inputs!$B$9)),Inputs!$B$8,0)</f>
        <v/>
      </c>
      <c r="M46" s="13">
        <f>O45*G46/12</f>
        <v/>
      </c>
      <c r="N46" s="13">
        <f>MIN(H46+L46,O45+M46)</f>
        <v/>
      </c>
      <c r="O46" s="13">
        <f>MAX(0,O45+M46-N46)</f>
        <v/>
      </c>
    </row>
    <row r="47">
      <c r="A47" s="11" t="n">
        <v>47484</v>
      </c>
      <c r="B47" s="15">
        <f>IF(MONTH(A47)=4,B46*(1+Inputs!$B$6),B46)</f>
        <v/>
      </c>
      <c r="C47" s="15">
        <f>IF(AND(MONTH(A47)=4,YEAR(A47)&gt;=Inputs!$B$20),C46*(1+Inputs!$B$21),C46)</f>
        <v/>
      </c>
      <c r="D47" s="15">
        <f>IF(AND(MONTH(A47)=4,YEAR(A47)&gt;=Inputs!$B$20),D46*(1+Inputs!$B$21),D46)</f>
        <v/>
      </c>
      <c r="E47" s="12">
        <f>VLOOKUP(A47,Inputs!$A$53:$C$55,2,TRUE)</f>
        <v/>
      </c>
      <c r="F47" s="12">
        <f>VLOOKUP(A47,Inputs!$A$53:$C$55,3,TRUE)</f>
        <v/>
      </c>
      <c r="G47" s="12">
        <f>MIN(F47,E47+0.03*MAX(0,MIN(1,(B47-C47)/(D47-C47))))</f>
        <v/>
      </c>
      <c r="H47" s="13">
        <f>MAX(0,0.09*(B47-C47)/12)</f>
        <v/>
      </c>
      <c r="I47" s="13">
        <f>K46*G47/12</f>
        <v/>
      </c>
      <c r="J47" s="13">
        <f>MIN(H47,K46+I47)</f>
        <v/>
      </c>
      <c r="K47" s="13">
        <f>MAX(0,K46+I47-J47)</f>
        <v/>
      </c>
      <c r="L47" s="13">
        <f>Inputs!$B$7+IF(AND(YEAR(A47)=YEAR(Inputs!$B$9),MONTH(A47)=MONTH(Inputs!$B$9)),Inputs!$B$8,0)</f>
        <v/>
      </c>
      <c r="M47" s="13">
        <f>O46*G47/12</f>
        <v/>
      </c>
      <c r="N47" s="13">
        <f>MIN(H47+L47,O46+M47)</f>
        <v/>
      </c>
      <c r="O47" s="13">
        <f>MAX(0,O46+M47-N47)</f>
        <v/>
      </c>
    </row>
    <row r="48">
      <c r="A48" s="11" t="n">
        <v>47515</v>
      </c>
      <c r="B48" s="15">
        <f>IF(MONTH(A48)=4,B47*(1+Inputs!$B$6),B47)</f>
        <v/>
      </c>
      <c r="C48" s="15">
        <f>IF(AND(MONTH(A48)=4,YEAR(A48)&gt;=Inputs!$B$20),C47*(1+Inputs!$B$21),C47)</f>
        <v/>
      </c>
      <c r="D48" s="15">
        <f>IF(AND(MONTH(A48)=4,YEAR(A48)&gt;=Inputs!$B$20),D47*(1+Inputs!$B$21),D47)</f>
        <v/>
      </c>
      <c r="E48" s="12">
        <f>VLOOKUP(A48,Inputs!$A$53:$C$55,2,TRUE)</f>
        <v/>
      </c>
      <c r="F48" s="12">
        <f>VLOOKUP(A48,Inputs!$A$53:$C$55,3,TRUE)</f>
        <v/>
      </c>
      <c r="G48" s="12">
        <f>MIN(F48,E48+0.03*MAX(0,MIN(1,(B48-C48)/(D48-C48))))</f>
        <v/>
      </c>
      <c r="H48" s="13">
        <f>MAX(0,0.09*(B48-C48)/12)</f>
        <v/>
      </c>
      <c r="I48" s="13">
        <f>K47*G48/12</f>
        <v/>
      </c>
      <c r="J48" s="13">
        <f>MIN(H48,K47+I48)</f>
        <v/>
      </c>
      <c r="K48" s="13">
        <f>MAX(0,K47+I48-J48)</f>
        <v/>
      </c>
      <c r="L48" s="13">
        <f>Inputs!$B$7+IF(AND(YEAR(A48)=YEAR(Inputs!$B$9),MONTH(A48)=MONTH(Inputs!$B$9)),Inputs!$B$8,0)</f>
        <v/>
      </c>
      <c r="M48" s="13">
        <f>O47*G48/12</f>
        <v/>
      </c>
      <c r="N48" s="13">
        <f>MIN(H48+L48,O47+M48)</f>
        <v/>
      </c>
      <c r="O48" s="13">
        <f>MAX(0,O47+M48-N48)</f>
        <v/>
      </c>
    </row>
    <row r="49">
      <c r="A49" s="11" t="n">
        <v>47543</v>
      </c>
      <c r="B49" s="15">
        <f>IF(MONTH(A49)=4,B48*(1+Inputs!$B$6),B48)</f>
        <v/>
      </c>
      <c r="C49" s="15">
        <f>IF(AND(MONTH(A49)=4,YEAR(A49)&gt;=Inputs!$B$20),C48*(1+Inputs!$B$21),C48)</f>
        <v/>
      </c>
      <c r="D49" s="15">
        <f>IF(AND(MONTH(A49)=4,YEAR(A49)&gt;=Inputs!$B$20),D48*(1+Inputs!$B$21),D48)</f>
        <v/>
      </c>
      <c r="E49" s="12">
        <f>VLOOKUP(A49,Inputs!$A$53:$C$55,2,TRUE)</f>
        <v/>
      </c>
      <c r="F49" s="12">
        <f>VLOOKUP(A49,Inputs!$A$53:$C$55,3,TRUE)</f>
        <v/>
      </c>
      <c r="G49" s="12">
        <f>MIN(F49,E49+0.03*MAX(0,MIN(1,(B49-C49)/(D49-C49))))</f>
        <v/>
      </c>
      <c r="H49" s="13">
        <f>MAX(0,0.09*(B49-C49)/12)</f>
        <v/>
      </c>
      <c r="I49" s="13">
        <f>K48*G49/12</f>
        <v/>
      </c>
      <c r="J49" s="13">
        <f>MIN(H49,K48+I49)</f>
        <v/>
      </c>
      <c r="K49" s="13">
        <f>MAX(0,K48+I49-J49)</f>
        <v/>
      </c>
      <c r="L49" s="13">
        <f>Inputs!$B$7+IF(AND(YEAR(A49)=YEAR(Inputs!$B$9),MONTH(A49)=MONTH(Inputs!$B$9)),Inputs!$B$8,0)</f>
        <v/>
      </c>
      <c r="M49" s="13">
        <f>O48*G49/12</f>
        <v/>
      </c>
      <c r="N49" s="13">
        <f>MIN(H49+L49,O48+M49)</f>
        <v/>
      </c>
      <c r="O49" s="13">
        <f>MAX(0,O48+M49-N49)</f>
        <v/>
      </c>
    </row>
    <row r="50">
      <c r="A50" s="11" t="n">
        <v>47574</v>
      </c>
      <c r="B50" s="15">
        <f>IF(MONTH(A50)=4,B49*(1+Inputs!$B$6),B49)</f>
        <v/>
      </c>
      <c r="C50" s="15">
        <f>IF(AND(MONTH(A50)=4,YEAR(A50)&gt;=Inputs!$B$20),C49*(1+Inputs!$B$21),C49)</f>
        <v/>
      </c>
      <c r="D50" s="15">
        <f>IF(AND(MONTH(A50)=4,YEAR(A50)&gt;=Inputs!$B$20),D49*(1+Inputs!$B$21),D49)</f>
        <v/>
      </c>
      <c r="E50" s="12">
        <f>VLOOKUP(A50,Inputs!$A$53:$C$55,2,TRUE)</f>
        <v/>
      </c>
      <c r="F50" s="12">
        <f>VLOOKUP(A50,Inputs!$A$53:$C$55,3,TRUE)</f>
        <v/>
      </c>
      <c r="G50" s="12">
        <f>MIN(F50,E50+0.03*MAX(0,MIN(1,(B50-C50)/(D50-C50))))</f>
        <v/>
      </c>
      <c r="H50" s="13">
        <f>MAX(0,0.09*(B50-C50)/12)</f>
        <v/>
      </c>
      <c r="I50" s="13">
        <f>K49*G50/12</f>
        <v/>
      </c>
      <c r="J50" s="13">
        <f>MIN(H50,K49+I50)</f>
        <v/>
      </c>
      <c r="K50" s="13">
        <f>MAX(0,K49+I50-J50)</f>
        <v/>
      </c>
      <c r="L50" s="13">
        <f>Inputs!$B$7+IF(AND(YEAR(A50)=YEAR(Inputs!$B$9),MONTH(A50)=MONTH(Inputs!$B$9)),Inputs!$B$8,0)</f>
        <v/>
      </c>
      <c r="M50" s="13">
        <f>O49*G50/12</f>
        <v/>
      </c>
      <c r="N50" s="13">
        <f>MIN(H50+L50,O49+M50)</f>
        <v/>
      </c>
      <c r="O50" s="13">
        <f>MAX(0,O49+M50-N50)</f>
        <v/>
      </c>
    </row>
    <row r="51">
      <c r="A51" s="11" t="n">
        <v>47604</v>
      </c>
      <c r="B51" s="15">
        <f>IF(MONTH(A51)=4,B50*(1+Inputs!$B$6),B50)</f>
        <v/>
      </c>
      <c r="C51" s="15">
        <f>IF(AND(MONTH(A51)=4,YEAR(A51)&gt;=Inputs!$B$20),C50*(1+Inputs!$B$21),C50)</f>
        <v/>
      </c>
      <c r="D51" s="15">
        <f>IF(AND(MONTH(A51)=4,YEAR(A51)&gt;=Inputs!$B$20),D50*(1+Inputs!$B$21),D50)</f>
        <v/>
      </c>
      <c r="E51" s="12">
        <f>VLOOKUP(A51,Inputs!$A$53:$C$55,2,TRUE)</f>
        <v/>
      </c>
      <c r="F51" s="12">
        <f>VLOOKUP(A51,Inputs!$A$53:$C$55,3,TRUE)</f>
        <v/>
      </c>
      <c r="G51" s="12">
        <f>MIN(F51,E51+0.03*MAX(0,MIN(1,(B51-C51)/(D51-C51))))</f>
        <v/>
      </c>
      <c r="H51" s="13">
        <f>MAX(0,0.09*(B51-C51)/12)</f>
        <v/>
      </c>
      <c r="I51" s="13">
        <f>K50*G51/12</f>
        <v/>
      </c>
      <c r="J51" s="13">
        <f>MIN(H51,K50+I51)</f>
        <v/>
      </c>
      <c r="K51" s="13">
        <f>MAX(0,K50+I51-J51)</f>
        <v/>
      </c>
      <c r="L51" s="13">
        <f>Inputs!$B$7+IF(AND(YEAR(A51)=YEAR(Inputs!$B$9),MONTH(A51)=MONTH(Inputs!$B$9)),Inputs!$B$8,0)</f>
        <v/>
      </c>
      <c r="M51" s="13">
        <f>O50*G51/12</f>
        <v/>
      </c>
      <c r="N51" s="13">
        <f>MIN(H51+L51,O50+M51)</f>
        <v/>
      </c>
      <c r="O51" s="13">
        <f>MAX(0,O50+M51-N51)</f>
        <v/>
      </c>
    </row>
    <row r="52">
      <c r="A52" s="11" t="n">
        <v>47635</v>
      </c>
      <c r="B52" s="15">
        <f>IF(MONTH(A52)=4,B51*(1+Inputs!$B$6),B51)</f>
        <v/>
      </c>
      <c r="C52" s="15">
        <f>IF(AND(MONTH(A52)=4,YEAR(A52)&gt;=Inputs!$B$20),C51*(1+Inputs!$B$21),C51)</f>
        <v/>
      </c>
      <c r="D52" s="15">
        <f>IF(AND(MONTH(A52)=4,YEAR(A52)&gt;=Inputs!$B$20),D51*(1+Inputs!$B$21),D51)</f>
        <v/>
      </c>
      <c r="E52" s="12">
        <f>VLOOKUP(A52,Inputs!$A$53:$C$55,2,TRUE)</f>
        <v/>
      </c>
      <c r="F52" s="12">
        <f>VLOOKUP(A52,Inputs!$A$53:$C$55,3,TRUE)</f>
        <v/>
      </c>
      <c r="G52" s="12">
        <f>MIN(F52,E52+0.03*MAX(0,MIN(1,(B52-C52)/(D52-C52))))</f>
        <v/>
      </c>
      <c r="H52" s="13">
        <f>MAX(0,0.09*(B52-C52)/12)</f>
        <v/>
      </c>
      <c r="I52" s="13">
        <f>K51*G52/12</f>
        <v/>
      </c>
      <c r="J52" s="13">
        <f>MIN(H52,K51+I52)</f>
        <v/>
      </c>
      <c r="K52" s="13">
        <f>MAX(0,K51+I52-J52)</f>
        <v/>
      </c>
      <c r="L52" s="13">
        <f>Inputs!$B$7+IF(AND(YEAR(A52)=YEAR(Inputs!$B$9),MONTH(A52)=MONTH(Inputs!$B$9)),Inputs!$B$8,0)</f>
        <v/>
      </c>
      <c r="M52" s="13">
        <f>O51*G52/12</f>
        <v/>
      </c>
      <c r="N52" s="13">
        <f>MIN(H52+L52,O51+M52)</f>
        <v/>
      </c>
      <c r="O52" s="13">
        <f>MAX(0,O51+M52-N52)</f>
        <v/>
      </c>
    </row>
    <row r="53">
      <c r="A53" s="11" t="n">
        <v>47665</v>
      </c>
      <c r="B53" s="15">
        <f>IF(MONTH(A53)=4,B52*(1+Inputs!$B$6),B52)</f>
        <v/>
      </c>
      <c r="C53" s="15">
        <f>IF(AND(MONTH(A53)=4,YEAR(A53)&gt;=Inputs!$B$20),C52*(1+Inputs!$B$21),C52)</f>
        <v/>
      </c>
      <c r="D53" s="15">
        <f>IF(AND(MONTH(A53)=4,YEAR(A53)&gt;=Inputs!$B$20),D52*(1+Inputs!$B$21),D52)</f>
        <v/>
      </c>
      <c r="E53" s="12">
        <f>VLOOKUP(A53,Inputs!$A$53:$C$55,2,TRUE)</f>
        <v/>
      </c>
      <c r="F53" s="12">
        <f>VLOOKUP(A53,Inputs!$A$53:$C$55,3,TRUE)</f>
        <v/>
      </c>
      <c r="G53" s="12">
        <f>MIN(F53,E53+0.03*MAX(0,MIN(1,(B53-C53)/(D53-C53))))</f>
        <v/>
      </c>
      <c r="H53" s="13">
        <f>MAX(0,0.09*(B53-C53)/12)</f>
        <v/>
      </c>
      <c r="I53" s="13">
        <f>K52*G53/12</f>
        <v/>
      </c>
      <c r="J53" s="13">
        <f>MIN(H53,K52+I53)</f>
        <v/>
      </c>
      <c r="K53" s="13">
        <f>MAX(0,K52+I53-J53)</f>
        <v/>
      </c>
      <c r="L53" s="13">
        <f>Inputs!$B$7+IF(AND(YEAR(A53)=YEAR(Inputs!$B$9),MONTH(A53)=MONTH(Inputs!$B$9)),Inputs!$B$8,0)</f>
        <v/>
      </c>
      <c r="M53" s="13">
        <f>O52*G53/12</f>
        <v/>
      </c>
      <c r="N53" s="13">
        <f>MIN(H53+L53,O52+M53)</f>
        <v/>
      </c>
      <c r="O53" s="13">
        <f>MAX(0,O52+M53-N53)</f>
        <v/>
      </c>
    </row>
    <row r="54">
      <c r="A54" s="11" t="n">
        <v>47696</v>
      </c>
      <c r="B54" s="15">
        <f>IF(MONTH(A54)=4,B53*(1+Inputs!$B$6),B53)</f>
        <v/>
      </c>
      <c r="C54" s="15">
        <f>IF(AND(MONTH(A54)=4,YEAR(A54)&gt;=Inputs!$B$20),C53*(1+Inputs!$B$21),C53)</f>
        <v/>
      </c>
      <c r="D54" s="15">
        <f>IF(AND(MONTH(A54)=4,YEAR(A54)&gt;=Inputs!$B$20),D53*(1+Inputs!$B$21),D53)</f>
        <v/>
      </c>
      <c r="E54" s="12">
        <f>VLOOKUP(A54,Inputs!$A$53:$C$55,2,TRUE)</f>
        <v/>
      </c>
      <c r="F54" s="12">
        <f>VLOOKUP(A54,Inputs!$A$53:$C$55,3,TRUE)</f>
        <v/>
      </c>
      <c r="G54" s="12">
        <f>MIN(F54,E54+0.03*MAX(0,MIN(1,(B54-C54)/(D54-C54))))</f>
        <v/>
      </c>
      <c r="H54" s="13">
        <f>MAX(0,0.09*(B54-C54)/12)</f>
        <v/>
      </c>
      <c r="I54" s="13">
        <f>K53*G54/12</f>
        <v/>
      </c>
      <c r="J54" s="13">
        <f>MIN(H54,K53+I54)</f>
        <v/>
      </c>
      <c r="K54" s="13">
        <f>MAX(0,K53+I54-J54)</f>
        <v/>
      </c>
      <c r="L54" s="13">
        <f>Inputs!$B$7+IF(AND(YEAR(A54)=YEAR(Inputs!$B$9),MONTH(A54)=MONTH(Inputs!$B$9)),Inputs!$B$8,0)</f>
        <v/>
      </c>
      <c r="M54" s="13">
        <f>O53*G54/12</f>
        <v/>
      </c>
      <c r="N54" s="13">
        <f>MIN(H54+L54,O53+M54)</f>
        <v/>
      </c>
      <c r="O54" s="13">
        <f>MAX(0,O53+M54-N54)</f>
        <v/>
      </c>
    </row>
    <row r="55">
      <c r="A55" s="11" t="n">
        <v>47727</v>
      </c>
      <c r="B55" s="15">
        <f>IF(MONTH(A55)=4,B54*(1+Inputs!$B$6),B54)</f>
        <v/>
      </c>
      <c r="C55" s="15">
        <f>IF(AND(MONTH(A55)=4,YEAR(A55)&gt;=Inputs!$B$20),C54*(1+Inputs!$B$21),C54)</f>
        <v/>
      </c>
      <c r="D55" s="15">
        <f>IF(AND(MONTH(A55)=4,YEAR(A55)&gt;=Inputs!$B$20),D54*(1+Inputs!$B$21),D54)</f>
        <v/>
      </c>
      <c r="E55" s="12">
        <f>VLOOKUP(A55,Inputs!$A$53:$C$55,2,TRUE)</f>
        <v/>
      </c>
      <c r="F55" s="12">
        <f>VLOOKUP(A55,Inputs!$A$53:$C$55,3,TRUE)</f>
        <v/>
      </c>
      <c r="G55" s="12">
        <f>MIN(F55,E55+0.03*MAX(0,MIN(1,(B55-C55)/(D55-C55))))</f>
        <v/>
      </c>
      <c r="H55" s="13">
        <f>MAX(0,0.09*(B55-C55)/12)</f>
        <v/>
      </c>
      <c r="I55" s="13">
        <f>K54*G55/12</f>
        <v/>
      </c>
      <c r="J55" s="13">
        <f>MIN(H55,K54+I55)</f>
        <v/>
      </c>
      <c r="K55" s="13">
        <f>MAX(0,K54+I55-J55)</f>
        <v/>
      </c>
      <c r="L55" s="13">
        <f>Inputs!$B$7+IF(AND(YEAR(A55)=YEAR(Inputs!$B$9),MONTH(A55)=MONTH(Inputs!$B$9)),Inputs!$B$8,0)</f>
        <v/>
      </c>
      <c r="M55" s="13">
        <f>O54*G55/12</f>
        <v/>
      </c>
      <c r="N55" s="13">
        <f>MIN(H55+L55,O54+M55)</f>
        <v/>
      </c>
      <c r="O55" s="13">
        <f>MAX(0,O54+M55-N55)</f>
        <v/>
      </c>
    </row>
    <row r="56">
      <c r="A56" s="11" t="n">
        <v>47757</v>
      </c>
      <c r="B56" s="15">
        <f>IF(MONTH(A56)=4,B55*(1+Inputs!$B$6),B55)</f>
        <v/>
      </c>
      <c r="C56" s="15">
        <f>IF(AND(MONTH(A56)=4,YEAR(A56)&gt;=Inputs!$B$20),C55*(1+Inputs!$B$21),C55)</f>
        <v/>
      </c>
      <c r="D56" s="15">
        <f>IF(AND(MONTH(A56)=4,YEAR(A56)&gt;=Inputs!$B$20),D55*(1+Inputs!$B$21),D55)</f>
        <v/>
      </c>
      <c r="E56" s="12">
        <f>VLOOKUP(A56,Inputs!$A$53:$C$55,2,TRUE)</f>
        <v/>
      </c>
      <c r="F56" s="12">
        <f>VLOOKUP(A56,Inputs!$A$53:$C$55,3,TRUE)</f>
        <v/>
      </c>
      <c r="G56" s="12">
        <f>MIN(F56,E56+0.03*MAX(0,MIN(1,(B56-C56)/(D56-C56))))</f>
        <v/>
      </c>
      <c r="H56" s="13">
        <f>MAX(0,0.09*(B56-C56)/12)</f>
        <v/>
      </c>
      <c r="I56" s="13">
        <f>K55*G56/12</f>
        <v/>
      </c>
      <c r="J56" s="13">
        <f>MIN(H56,K55+I56)</f>
        <v/>
      </c>
      <c r="K56" s="13">
        <f>MAX(0,K55+I56-J56)</f>
        <v/>
      </c>
      <c r="L56" s="13">
        <f>Inputs!$B$7+IF(AND(YEAR(A56)=YEAR(Inputs!$B$9),MONTH(A56)=MONTH(Inputs!$B$9)),Inputs!$B$8,0)</f>
        <v/>
      </c>
      <c r="M56" s="13">
        <f>O55*G56/12</f>
        <v/>
      </c>
      <c r="N56" s="13">
        <f>MIN(H56+L56,O55+M56)</f>
        <v/>
      </c>
      <c r="O56" s="13">
        <f>MAX(0,O55+M56-N56)</f>
        <v/>
      </c>
    </row>
    <row r="57">
      <c r="A57" s="11" t="n">
        <v>47788</v>
      </c>
      <c r="B57" s="15">
        <f>IF(MONTH(A57)=4,B56*(1+Inputs!$B$6),B56)</f>
        <v/>
      </c>
      <c r="C57" s="15">
        <f>IF(AND(MONTH(A57)=4,YEAR(A57)&gt;=Inputs!$B$20),C56*(1+Inputs!$B$21),C56)</f>
        <v/>
      </c>
      <c r="D57" s="15">
        <f>IF(AND(MONTH(A57)=4,YEAR(A57)&gt;=Inputs!$B$20),D56*(1+Inputs!$B$21),D56)</f>
        <v/>
      </c>
      <c r="E57" s="12">
        <f>VLOOKUP(A57,Inputs!$A$53:$C$55,2,TRUE)</f>
        <v/>
      </c>
      <c r="F57" s="12">
        <f>VLOOKUP(A57,Inputs!$A$53:$C$55,3,TRUE)</f>
        <v/>
      </c>
      <c r="G57" s="12">
        <f>MIN(F57,E57+0.03*MAX(0,MIN(1,(B57-C57)/(D57-C57))))</f>
        <v/>
      </c>
      <c r="H57" s="13">
        <f>MAX(0,0.09*(B57-C57)/12)</f>
        <v/>
      </c>
      <c r="I57" s="13">
        <f>K56*G57/12</f>
        <v/>
      </c>
      <c r="J57" s="13">
        <f>MIN(H57,K56+I57)</f>
        <v/>
      </c>
      <c r="K57" s="13">
        <f>MAX(0,K56+I57-J57)</f>
        <v/>
      </c>
      <c r="L57" s="13">
        <f>Inputs!$B$7+IF(AND(YEAR(A57)=YEAR(Inputs!$B$9),MONTH(A57)=MONTH(Inputs!$B$9)),Inputs!$B$8,0)</f>
        <v/>
      </c>
      <c r="M57" s="13">
        <f>O56*G57/12</f>
        <v/>
      </c>
      <c r="N57" s="13">
        <f>MIN(H57+L57,O56+M57)</f>
        <v/>
      </c>
      <c r="O57" s="13">
        <f>MAX(0,O56+M57-N57)</f>
        <v/>
      </c>
    </row>
    <row r="58">
      <c r="A58" s="11" t="n">
        <v>47818</v>
      </c>
      <c r="B58" s="15">
        <f>IF(MONTH(A58)=4,B57*(1+Inputs!$B$6),B57)</f>
        <v/>
      </c>
      <c r="C58" s="15">
        <f>IF(AND(MONTH(A58)=4,YEAR(A58)&gt;=Inputs!$B$20),C57*(1+Inputs!$B$21),C57)</f>
        <v/>
      </c>
      <c r="D58" s="15">
        <f>IF(AND(MONTH(A58)=4,YEAR(A58)&gt;=Inputs!$B$20),D57*(1+Inputs!$B$21),D57)</f>
        <v/>
      </c>
      <c r="E58" s="12">
        <f>VLOOKUP(A58,Inputs!$A$53:$C$55,2,TRUE)</f>
        <v/>
      </c>
      <c r="F58" s="12">
        <f>VLOOKUP(A58,Inputs!$A$53:$C$55,3,TRUE)</f>
        <v/>
      </c>
      <c r="G58" s="12">
        <f>MIN(F58,E58+0.03*MAX(0,MIN(1,(B58-C58)/(D58-C58))))</f>
        <v/>
      </c>
      <c r="H58" s="13">
        <f>MAX(0,0.09*(B58-C58)/12)</f>
        <v/>
      </c>
      <c r="I58" s="13">
        <f>K57*G58/12</f>
        <v/>
      </c>
      <c r="J58" s="13">
        <f>MIN(H58,K57+I58)</f>
        <v/>
      </c>
      <c r="K58" s="13">
        <f>MAX(0,K57+I58-J58)</f>
        <v/>
      </c>
      <c r="L58" s="13">
        <f>Inputs!$B$7+IF(AND(YEAR(A58)=YEAR(Inputs!$B$9),MONTH(A58)=MONTH(Inputs!$B$9)),Inputs!$B$8,0)</f>
        <v/>
      </c>
      <c r="M58" s="13">
        <f>O57*G58/12</f>
        <v/>
      </c>
      <c r="N58" s="13">
        <f>MIN(H58+L58,O57+M58)</f>
        <v/>
      </c>
      <c r="O58" s="13">
        <f>MAX(0,O57+M58-N58)</f>
        <v/>
      </c>
    </row>
    <row r="59">
      <c r="A59" s="11" t="n">
        <v>47849</v>
      </c>
      <c r="B59" s="15">
        <f>IF(MONTH(A59)=4,B58*(1+Inputs!$B$6),B58)</f>
        <v/>
      </c>
      <c r="C59" s="15">
        <f>IF(AND(MONTH(A59)=4,YEAR(A59)&gt;=Inputs!$B$20),C58*(1+Inputs!$B$21),C58)</f>
        <v/>
      </c>
      <c r="D59" s="15">
        <f>IF(AND(MONTH(A59)=4,YEAR(A59)&gt;=Inputs!$B$20),D58*(1+Inputs!$B$21),D58)</f>
        <v/>
      </c>
      <c r="E59" s="12">
        <f>VLOOKUP(A59,Inputs!$A$53:$C$55,2,TRUE)</f>
        <v/>
      </c>
      <c r="F59" s="12">
        <f>VLOOKUP(A59,Inputs!$A$53:$C$55,3,TRUE)</f>
        <v/>
      </c>
      <c r="G59" s="12">
        <f>MIN(F59,E59+0.03*MAX(0,MIN(1,(B59-C59)/(D59-C59))))</f>
        <v/>
      </c>
      <c r="H59" s="13">
        <f>MAX(0,0.09*(B59-C59)/12)</f>
        <v/>
      </c>
      <c r="I59" s="13">
        <f>K58*G59/12</f>
        <v/>
      </c>
      <c r="J59" s="13">
        <f>MIN(H59,K58+I59)</f>
        <v/>
      </c>
      <c r="K59" s="13">
        <f>MAX(0,K58+I59-J59)</f>
        <v/>
      </c>
      <c r="L59" s="13">
        <f>Inputs!$B$7+IF(AND(YEAR(A59)=YEAR(Inputs!$B$9),MONTH(A59)=MONTH(Inputs!$B$9)),Inputs!$B$8,0)</f>
        <v/>
      </c>
      <c r="M59" s="13">
        <f>O58*G59/12</f>
        <v/>
      </c>
      <c r="N59" s="13">
        <f>MIN(H59+L59,O58+M59)</f>
        <v/>
      </c>
      <c r="O59" s="13">
        <f>MAX(0,O58+M59-N59)</f>
        <v/>
      </c>
    </row>
    <row r="60">
      <c r="A60" s="11" t="n">
        <v>47880</v>
      </c>
      <c r="B60" s="15">
        <f>IF(MONTH(A60)=4,B59*(1+Inputs!$B$6),B59)</f>
        <v/>
      </c>
      <c r="C60" s="15">
        <f>IF(AND(MONTH(A60)=4,YEAR(A60)&gt;=Inputs!$B$20),C59*(1+Inputs!$B$21),C59)</f>
        <v/>
      </c>
      <c r="D60" s="15">
        <f>IF(AND(MONTH(A60)=4,YEAR(A60)&gt;=Inputs!$B$20),D59*(1+Inputs!$B$21),D59)</f>
        <v/>
      </c>
      <c r="E60" s="12">
        <f>VLOOKUP(A60,Inputs!$A$53:$C$55,2,TRUE)</f>
        <v/>
      </c>
      <c r="F60" s="12">
        <f>VLOOKUP(A60,Inputs!$A$53:$C$55,3,TRUE)</f>
        <v/>
      </c>
      <c r="G60" s="12">
        <f>MIN(F60,E60+0.03*MAX(0,MIN(1,(B60-C60)/(D60-C60))))</f>
        <v/>
      </c>
      <c r="H60" s="13">
        <f>MAX(0,0.09*(B60-C60)/12)</f>
        <v/>
      </c>
      <c r="I60" s="13">
        <f>K59*G60/12</f>
        <v/>
      </c>
      <c r="J60" s="13">
        <f>MIN(H60,K59+I60)</f>
        <v/>
      </c>
      <c r="K60" s="13">
        <f>MAX(0,K59+I60-J60)</f>
        <v/>
      </c>
      <c r="L60" s="13">
        <f>Inputs!$B$7+IF(AND(YEAR(A60)=YEAR(Inputs!$B$9),MONTH(A60)=MONTH(Inputs!$B$9)),Inputs!$B$8,0)</f>
        <v/>
      </c>
      <c r="M60" s="13">
        <f>O59*G60/12</f>
        <v/>
      </c>
      <c r="N60" s="13">
        <f>MIN(H60+L60,O59+M60)</f>
        <v/>
      </c>
      <c r="O60" s="13">
        <f>MAX(0,O59+M60-N60)</f>
        <v/>
      </c>
    </row>
    <row r="61">
      <c r="A61" s="11" t="n">
        <v>47908</v>
      </c>
      <c r="B61" s="15">
        <f>IF(MONTH(A61)=4,B60*(1+Inputs!$B$6),B60)</f>
        <v/>
      </c>
      <c r="C61" s="15">
        <f>IF(AND(MONTH(A61)=4,YEAR(A61)&gt;=Inputs!$B$20),C60*(1+Inputs!$B$21),C60)</f>
        <v/>
      </c>
      <c r="D61" s="15">
        <f>IF(AND(MONTH(A61)=4,YEAR(A61)&gt;=Inputs!$B$20),D60*(1+Inputs!$B$21),D60)</f>
        <v/>
      </c>
      <c r="E61" s="12">
        <f>VLOOKUP(A61,Inputs!$A$53:$C$55,2,TRUE)</f>
        <v/>
      </c>
      <c r="F61" s="12">
        <f>VLOOKUP(A61,Inputs!$A$53:$C$55,3,TRUE)</f>
        <v/>
      </c>
      <c r="G61" s="12">
        <f>MIN(F61,E61+0.03*MAX(0,MIN(1,(B61-C61)/(D61-C61))))</f>
        <v/>
      </c>
      <c r="H61" s="13">
        <f>MAX(0,0.09*(B61-C61)/12)</f>
        <v/>
      </c>
      <c r="I61" s="13">
        <f>K60*G61/12</f>
        <v/>
      </c>
      <c r="J61" s="13">
        <f>MIN(H61,K60+I61)</f>
        <v/>
      </c>
      <c r="K61" s="13">
        <f>MAX(0,K60+I61-J61)</f>
        <v/>
      </c>
      <c r="L61" s="13">
        <f>Inputs!$B$7+IF(AND(YEAR(A61)=YEAR(Inputs!$B$9),MONTH(A61)=MONTH(Inputs!$B$9)),Inputs!$B$8,0)</f>
        <v/>
      </c>
      <c r="M61" s="13">
        <f>O60*G61/12</f>
        <v/>
      </c>
      <c r="N61" s="13">
        <f>MIN(H61+L61,O60+M61)</f>
        <v/>
      </c>
      <c r="O61" s="13">
        <f>MAX(0,O60+M61-N61)</f>
        <v/>
      </c>
    </row>
    <row r="62">
      <c r="A62" s="11" t="n">
        <v>47939</v>
      </c>
      <c r="B62" s="15">
        <f>IF(MONTH(A62)=4,B61*(1+Inputs!$B$6),B61)</f>
        <v/>
      </c>
      <c r="C62" s="15">
        <f>IF(AND(MONTH(A62)=4,YEAR(A62)&gt;=Inputs!$B$20),C61*(1+Inputs!$B$21),C61)</f>
        <v/>
      </c>
      <c r="D62" s="15">
        <f>IF(AND(MONTH(A62)=4,YEAR(A62)&gt;=Inputs!$B$20),D61*(1+Inputs!$B$21),D61)</f>
        <v/>
      </c>
      <c r="E62" s="12">
        <f>VLOOKUP(A62,Inputs!$A$53:$C$55,2,TRUE)</f>
        <v/>
      </c>
      <c r="F62" s="12">
        <f>VLOOKUP(A62,Inputs!$A$53:$C$55,3,TRUE)</f>
        <v/>
      </c>
      <c r="G62" s="12">
        <f>MIN(F62,E62+0.03*MAX(0,MIN(1,(B62-C62)/(D62-C62))))</f>
        <v/>
      </c>
      <c r="H62" s="13">
        <f>MAX(0,0.09*(B62-C62)/12)</f>
        <v/>
      </c>
      <c r="I62" s="13">
        <f>K61*G62/12</f>
        <v/>
      </c>
      <c r="J62" s="13">
        <f>MIN(H62,K61+I62)</f>
        <v/>
      </c>
      <c r="K62" s="13">
        <f>MAX(0,K61+I62-J62)</f>
        <v/>
      </c>
      <c r="L62" s="13">
        <f>Inputs!$B$7+IF(AND(YEAR(A62)=YEAR(Inputs!$B$9),MONTH(A62)=MONTH(Inputs!$B$9)),Inputs!$B$8,0)</f>
        <v/>
      </c>
      <c r="M62" s="13">
        <f>O61*G62/12</f>
        <v/>
      </c>
      <c r="N62" s="13">
        <f>MIN(H62+L62,O61+M62)</f>
        <v/>
      </c>
      <c r="O62" s="13">
        <f>MAX(0,O61+M62-N62)</f>
        <v/>
      </c>
    </row>
    <row r="63">
      <c r="A63" s="11" t="n">
        <v>47969</v>
      </c>
      <c r="B63" s="15">
        <f>IF(MONTH(A63)=4,B62*(1+Inputs!$B$6),B62)</f>
        <v/>
      </c>
      <c r="C63" s="15">
        <f>IF(AND(MONTH(A63)=4,YEAR(A63)&gt;=Inputs!$B$20),C62*(1+Inputs!$B$21),C62)</f>
        <v/>
      </c>
      <c r="D63" s="15">
        <f>IF(AND(MONTH(A63)=4,YEAR(A63)&gt;=Inputs!$B$20),D62*(1+Inputs!$B$21),D62)</f>
        <v/>
      </c>
      <c r="E63" s="12">
        <f>VLOOKUP(A63,Inputs!$A$53:$C$55,2,TRUE)</f>
        <v/>
      </c>
      <c r="F63" s="12">
        <f>VLOOKUP(A63,Inputs!$A$53:$C$55,3,TRUE)</f>
        <v/>
      </c>
      <c r="G63" s="12">
        <f>MIN(F63,E63+0.03*MAX(0,MIN(1,(B63-C63)/(D63-C63))))</f>
        <v/>
      </c>
      <c r="H63" s="13">
        <f>MAX(0,0.09*(B63-C63)/12)</f>
        <v/>
      </c>
      <c r="I63" s="13">
        <f>K62*G63/12</f>
        <v/>
      </c>
      <c r="J63" s="13">
        <f>MIN(H63,K62+I63)</f>
        <v/>
      </c>
      <c r="K63" s="13">
        <f>MAX(0,K62+I63-J63)</f>
        <v/>
      </c>
      <c r="L63" s="13">
        <f>Inputs!$B$7+IF(AND(YEAR(A63)=YEAR(Inputs!$B$9),MONTH(A63)=MONTH(Inputs!$B$9)),Inputs!$B$8,0)</f>
        <v/>
      </c>
      <c r="M63" s="13">
        <f>O62*G63/12</f>
        <v/>
      </c>
      <c r="N63" s="13">
        <f>MIN(H63+L63,O62+M63)</f>
        <v/>
      </c>
      <c r="O63" s="13">
        <f>MAX(0,O62+M63-N63)</f>
        <v/>
      </c>
    </row>
    <row r="64">
      <c r="A64" s="11" t="n">
        <v>48000</v>
      </c>
      <c r="B64" s="15">
        <f>IF(MONTH(A64)=4,B63*(1+Inputs!$B$6),B63)</f>
        <v/>
      </c>
      <c r="C64" s="15">
        <f>IF(AND(MONTH(A64)=4,YEAR(A64)&gt;=Inputs!$B$20),C63*(1+Inputs!$B$21),C63)</f>
        <v/>
      </c>
      <c r="D64" s="15">
        <f>IF(AND(MONTH(A64)=4,YEAR(A64)&gt;=Inputs!$B$20),D63*(1+Inputs!$B$21),D63)</f>
        <v/>
      </c>
      <c r="E64" s="12">
        <f>VLOOKUP(A64,Inputs!$A$53:$C$55,2,TRUE)</f>
        <v/>
      </c>
      <c r="F64" s="12">
        <f>VLOOKUP(A64,Inputs!$A$53:$C$55,3,TRUE)</f>
        <v/>
      </c>
      <c r="G64" s="12">
        <f>MIN(F64,E64+0.03*MAX(0,MIN(1,(B64-C64)/(D64-C64))))</f>
        <v/>
      </c>
      <c r="H64" s="13">
        <f>MAX(0,0.09*(B64-C64)/12)</f>
        <v/>
      </c>
      <c r="I64" s="13">
        <f>K63*G64/12</f>
        <v/>
      </c>
      <c r="J64" s="13">
        <f>MIN(H64,K63+I64)</f>
        <v/>
      </c>
      <c r="K64" s="13">
        <f>MAX(0,K63+I64-J64)</f>
        <v/>
      </c>
      <c r="L64" s="13">
        <f>Inputs!$B$7+IF(AND(YEAR(A64)=YEAR(Inputs!$B$9),MONTH(A64)=MONTH(Inputs!$B$9)),Inputs!$B$8,0)</f>
        <v/>
      </c>
      <c r="M64" s="13">
        <f>O63*G64/12</f>
        <v/>
      </c>
      <c r="N64" s="13">
        <f>MIN(H64+L64,O63+M64)</f>
        <v/>
      </c>
      <c r="O64" s="13">
        <f>MAX(0,O63+M64-N64)</f>
        <v/>
      </c>
    </row>
    <row r="65">
      <c r="A65" s="11" t="n">
        <v>48030</v>
      </c>
      <c r="B65" s="15">
        <f>IF(MONTH(A65)=4,B64*(1+Inputs!$B$6),B64)</f>
        <v/>
      </c>
      <c r="C65" s="15">
        <f>IF(AND(MONTH(A65)=4,YEAR(A65)&gt;=Inputs!$B$20),C64*(1+Inputs!$B$21),C64)</f>
        <v/>
      </c>
      <c r="D65" s="15">
        <f>IF(AND(MONTH(A65)=4,YEAR(A65)&gt;=Inputs!$B$20),D64*(1+Inputs!$B$21),D64)</f>
        <v/>
      </c>
      <c r="E65" s="12">
        <f>VLOOKUP(A65,Inputs!$A$53:$C$55,2,TRUE)</f>
        <v/>
      </c>
      <c r="F65" s="12">
        <f>VLOOKUP(A65,Inputs!$A$53:$C$55,3,TRUE)</f>
        <v/>
      </c>
      <c r="G65" s="12">
        <f>MIN(F65,E65+0.03*MAX(0,MIN(1,(B65-C65)/(D65-C65))))</f>
        <v/>
      </c>
      <c r="H65" s="13">
        <f>MAX(0,0.09*(B65-C65)/12)</f>
        <v/>
      </c>
      <c r="I65" s="13">
        <f>K64*G65/12</f>
        <v/>
      </c>
      <c r="J65" s="13">
        <f>MIN(H65,K64+I65)</f>
        <v/>
      </c>
      <c r="K65" s="13">
        <f>MAX(0,K64+I65-J65)</f>
        <v/>
      </c>
      <c r="L65" s="13">
        <f>Inputs!$B$7+IF(AND(YEAR(A65)=YEAR(Inputs!$B$9),MONTH(A65)=MONTH(Inputs!$B$9)),Inputs!$B$8,0)</f>
        <v/>
      </c>
      <c r="M65" s="13">
        <f>O64*G65/12</f>
        <v/>
      </c>
      <c r="N65" s="13">
        <f>MIN(H65+L65,O64+M65)</f>
        <v/>
      </c>
      <c r="O65" s="13">
        <f>MAX(0,O64+M65-N65)</f>
        <v/>
      </c>
    </row>
    <row r="66">
      <c r="A66" s="11" t="n">
        <v>48061</v>
      </c>
      <c r="B66" s="15">
        <f>IF(MONTH(A66)=4,B65*(1+Inputs!$B$6),B65)</f>
        <v/>
      </c>
      <c r="C66" s="15">
        <f>IF(AND(MONTH(A66)=4,YEAR(A66)&gt;=Inputs!$B$20),C65*(1+Inputs!$B$21),C65)</f>
        <v/>
      </c>
      <c r="D66" s="15">
        <f>IF(AND(MONTH(A66)=4,YEAR(A66)&gt;=Inputs!$B$20),D65*(1+Inputs!$B$21),D65)</f>
        <v/>
      </c>
      <c r="E66" s="12">
        <f>VLOOKUP(A66,Inputs!$A$53:$C$55,2,TRUE)</f>
        <v/>
      </c>
      <c r="F66" s="12">
        <f>VLOOKUP(A66,Inputs!$A$53:$C$55,3,TRUE)</f>
        <v/>
      </c>
      <c r="G66" s="12">
        <f>MIN(F66,E66+0.03*MAX(0,MIN(1,(B66-C66)/(D66-C66))))</f>
        <v/>
      </c>
      <c r="H66" s="13">
        <f>MAX(0,0.09*(B66-C66)/12)</f>
        <v/>
      </c>
      <c r="I66" s="13">
        <f>K65*G66/12</f>
        <v/>
      </c>
      <c r="J66" s="13">
        <f>MIN(H66,K65+I66)</f>
        <v/>
      </c>
      <c r="K66" s="13">
        <f>MAX(0,K65+I66-J66)</f>
        <v/>
      </c>
      <c r="L66" s="13">
        <f>Inputs!$B$7+IF(AND(YEAR(A66)=YEAR(Inputs!$B$9),MONTH(A66)=MONTH(Inputs!$B$9)),Inputs!$B$8,0)</f>
        <v/>
      </c>
      <c r="M66" s="13">
        <f>O65*G66/12</f>
        <v/>
      </c>
      <c r="N66" s="13">
        <f>MIN(H66+L66,O65+M66)</f>
        <v/>
      </c>
      <c r="O66" s="13">
        <f>MAX(0,O65+M66-N66)</f>
        <v/>
      </c>
    </row>
    <row r="67">
      <c r="A67" s="11" t="n">
        <v>48092</v>
      </c>
      <c r="B67" s="15">
        <f>IF(MONTH(A67)=4,B66*(1+Inputs!$B$6),B66)</f>
        <v/>
      </c>
      <c r="C67" s="15">
        <f>IF(AND(MONTH(A67)=4,YEAR(A67)&gt;=Inputs!$B$20),C66*(1+Inputs!$B$21),C66)</f>
        <v/>
      </c>
      <c r="D67" s="15">
        <f>IF(AND(MONTH(A67)=4,YEAR(A67)&gt;=Inputs!$B$20),D66*(1+Inputs!$B$21),D66)</f>
        <v/>
      </c>
      <c r="E67" s="12">
        <f>VLOOKUP(A67,Inputs!$A$53:$C$55,2,TRUE)</f>
        <v/>
      </c>
      <c r="F67" s="12">
        <f>VLOOKUP(A67,Inputs!$A$53:$C$55,3,TRUE)</f>
        <v/>
      </c>
      <c r="G67" s="12">
        <f>MIN(F67,E67+0.03*MAX(0,MIN(1,(B67-C67)/(D67-C67))))</f>
        <v/>
      </c>
      <c r="H67" s="13">
        <f>MAX(0,0.09*(B67-C67)/12)</f>
        <v/>
      </c>
      <c r="I67" s="13">
        <f>K66*G67/12</f>
        <v/>
      </c>
      <c r="J67" s="13">
        <f>MIN(H67,K66+I67)</f>
        <v/>
      </c>
      <c r="K67" s="13">
        <f>MAX(0,K66+I67-J67)</f>
        <v/>
      </c>
      <c r="L67" s="13">
        <f>Inputs!$B$7+IF(AND(YEAR(A67)=YEAR(Inputs!$B$9),MONTH(A67)=MONTH(Inputs!$B$9)),Inputs!$B$8,0)</f>
        <v/>
      </c>
      <c r="M67" s="13">
        <f>O66*G67/12</f>
        <v/>
      </c>
      <c r="N67" s="13">
        <f>MIN(H67+L67,O66+M67)</f>
        <v/>
      </c>
      <c r="O67" s="13">
        <f>MAX(0,O66+M67-N67)</f>
        <v/>
      </c>
    </row>
    <row r="68">
      <c r="A68" s="11" t="n">
        <v>48122</v>
      </c>
      <c r="B68" s="15">
        <f>IF(MONTH(A68)=4,B67*(1+Inputs!$B$6),B67)</f>
        <v/>
      </c>
      <c r="C68" s="15">
        <f>IF(AND(MONTH(A68)=4,YEAR(A68)&gt;=Inputs!$B$20),C67*(1+Inputs!$B$21),C67)</f>
        <v/>
      </c>
      <c r="D68" s="15">
        <f>IF(AND(MONTH(A68)=4,YEAR(A68)&gt;=Inputs!$B$20),D67*(1+Inputs!$B$21),D67)</f>
        <v/>
      </c>
      <c r="E68" s="12">
        <f>VLOOKUP(A68,Inputs!$A$53:$C$55,2,TRUE)</f>
        <v/>
      </c>
      <c r="F68" s="12">
        <f>VLOOKUP(A68,Inputs!$A$53:$C$55,3,TRUE)</f>
        <v/>
      </c>
      <c r="G68" s="12">
        <f>MIN(F68,E68+0.03*MAX(0,MIN(1,(B68-C68)/(D68-C68))))</f>
        <v/>
      </c>
      <c r="H68" s="13">
        <f>MAX(0,0.09*(B68-C68)/12)</f>
        <v/>
      </c>
      <c r="I68" s="13">
        <f>K67*G68/12</f>
        <v/>
      </c>
      <c r="J68" s="13">
        <f>MIN(H68,K67+I68)</f>
        <v/>
      </c>
      <c r="K68" s="13">
        <f>MAX(0,K67+I68-J68)</f>
        <v/>
      </c>
      <c r="L68" s="13">
        <f>Inputs!$B$7+IF(AND(YEAR(A68)=YEAR(Inputs!$B$9),MONTH(A68)=MONTH(Inputs!$B$9)),Inputs!$B$8,0)</f>
        <v/>
      </c>
      <c r="M68" s="13">
        <f>O67*G68/12</f>
        <v/>
      </c>
      <c r="N68" s="13">
        <f>MIN(H68+L68,O67+M68)</f>
        <v/>
      </c>
      <c r="O68" s="13">
        <f>MAX(0,O67+M68-N68)</f>
        <v/>
      </c>
    </row>
    <row r="69">
      <c r="A69" s="11" t="n">
        <v>48153</v>
      </c>
      <c r="B69" s="15">
        <f>IF(MONTH(A69)=4,B68*(1+Inputs!$B$6),B68)</f>
        <v/>
      </c>
      <c r="C69" s="15">
        <f>IF(AND(MONTH(A69)=4,YEAR(A69)&gt;=Inputs!$B$20),C68*(1+Inputs!$B$21),C68)</f>
        <v/>
      </c>
      <c r="D69" s="15">
        <f>IF(AND(MONTH(A69)=4,YEAR(A69)&gt;=Inputs!$B$20),D68*(1+Inputs!$B$21),D68)</f>
        <v/>
      </c>
      <c r="E69" s="12">
        <f>VLOOKUP(A69,Inputs!$A$53:$C$55,2,TRUE)</f>
        <v/>
      </c>
      <c r="F69" s="12">
        <f>VLOOKUP(A69,Inputs!$A$53:$C$55,3,TRUE)</f>
        <v/>
      </c>
      <c r="G69" s="12">
        <f>MIN(F69,E69+0.03*MAX(0,MIN(1,(B69-C69)/(D69-C69))))</f>
        <v/>
      </c>
      <c r="H69" s="13">
        <f>MAX(0,0.09*(B69-C69)/12)</f>
        <v/>
      </c>
      <c r="I69" s="13">
        <f>K68*G69/12</f>
        <v/>
      </c>
      <c r="J69" s="13">
        <f>MIN(H69,K68+I69)</f>
        <v/>
      </c>
      <c r="K69" s="13">
        <f>MAX(0,K68+I69-J69)</f>
        <v/>
      </c>
      <c r="L69" s="13">
        <f>Inputs!$B$7+IF(AND(YEAR(A69)=YEAR(Inputs!$B$9),MONTH(A69)=MONTH(Inputs!$B$9)),Inputs!$B$8,0)</f>
        <v/>
      </c>
      <c r="M69" s="13">
        <f>O68*G69/12</f>
        <v/>
      </c>
      <c r="N69" s="13">
        <f>MIN(H69+L69,O68+M69)</f>
        <v/>
      </c>
      <c r="O69" s="13">
        <f>MAX(0,O68+M69-N69)</f>
        <v/>
      </c>
    </row>
    <row r="70">
      <c r="A70" s="11" t="n">
        <v>48183</v>
      </c>
      <c r="B70" s="15">
        <f>IF(MONTH(A70)=4,B69*(1+Inputs!$B$6),B69)</f>
        <v/>
      </c>
      <c r="C70" s="15">
        <f>IF(AND(MONTH(A70)=4,YEAR(A70)&gt;=Inputs!$B$20),C69*(1+Inputs!$B$21),C69)</f>
        <v/>
      </c>
      <c r="D70" s="15">
        <f>IF(AND(MONTH(A70)=4,YEAR(A70)&gt;=Inputs!$B$20),D69*(1+Inputs!$B$21),D69)</f>
        <v/>
      </c>
      <c r="E70" s="12">
        <f>VLOOKUP(A70,Inputs!$A$53:$C$55,2,TRUE)</f>
        <v/>
      </c>
      <c r="F70" s="12">
        <f>VLOOKUP(A70,Inputs!$A$53:$C$55,3,TRUE)</f>
        <v/>
      </c>
      <c r="G70" s="12">
        <f>MIN(F70,E70+0.03*MAX(0,MIN(1,(B70-C70)/(D70-C70))))</f>
        <v/>
      </c>
      <c r="H70" s="13">
        <f>MAX(0,0.09*(B70-C70)/12)</f>
        <v/>
      </c>
      <c r="I70" s="13">
        <f>K69*G70/12</f>
        <v/>
      </c>
      <c r="J70" s="13">
        <f>MIN(H70,K69+I70)</f>
        <v/>
      </c>
      <c r="K70" s="13">
        <f>MAX(0,K69+I70-J70)</f>
        <v/>
      </c>
      <c r="L70" s="13">
        <f>Inputs!$B$7+IF(AND(YEAR(A70)=YEAR(Inputs!$B$9),MONTH(A70)=MONTH(Inputs!$B$9)),Inputs!$B$8,0)</f>
        <v/>
      </c>
      <c r="M70" s="13">
        <f>O69*G70/12</f>
        <v/>
      </c>
      <c r="N70" s="13">
        <f>MIN(H70+L70,O69+M70)</f>
        <v/>
      </c>
      <c r="O70" s="13">
        <f>MAX(0,O69+M70-N70)</f>
        <v/>
      </c>
    </row>
    <row r="71">
      <c r="A71" s="11" t="n">
        <v>48214</v>
      </c>
      <c r="B71" s="15">
        <f>IF(MONTH(A71)=4,B70*(1+Inputs!$B$6),B70)</f>
        <v/>
      </c>
      <c r="C71" s="15">
        <f>IF(AND(MONTH(A71)=4,YEAR(A71)&gt;=Inputs!$B$20),C70*(1+Inputs!$B$21),C70)</f>
        <v/>
      </c>
      <c r="D71" s="15">
        <f>IF(AND(MONTH(A71)=4,YEAR(A71)&gt;=Inputs!$B$20),D70*(1+Inputs!$B$21),D70)</f>
        <v/>
      </c>
      <c r="E71" s="12">
        <f>VLOOKUP(A71,Inputs!$A$53:$C$55,2,TRUE)</f>
        <v/>
      </c>
      <c r="F71" s="12">
        <f>VLOOKUP(A71,Inputs!$A$53:$C$55,3,TRUE)</f>
        <v/>
      </c>
      <c r="G71" s="12">
        <f>MIN(F71,E71+0.03*MAX(0,MIN(1,(B71-C71)/(D71-C71))))</f>
        <v/>
      </c>
      <c r="H71" s="13">
        <f>MAX(0,0.09*(B71-C71)/12)</f>
        <v/>
      </c>
      <c r="I71" s="13">
        <f>K70*G71/12</f>
        <v/>
      </c>
      <c r="J71" s="13">
        <f>MIN(H71,K70+I71)</f>
        <v/>
      </c>
      <c r="K71" s="13">
        <f>MAX(0,K70+I71-J71)</f>
        <v/>
      </c>
      <c r="L71" s="13">
        <f>Inputs!$B$7+IF(AND(YEAR(A71)=YEAR(Inputs!$B$9),MONTH(A71)=MONTH(Inputs!$B$9)),Inputs!$B$8,0)</f>
        <v/>
      </c>
      <c r="M71" s="13">
        <f>O70*G71/12</f>
        <v/>
      </c>
      <c r="N71" s="13">
        <f>MIN(H71+L71,O70+M71)</f>
        <v/>
      </c>
      <c r="O71" s="13">
        <f>MAX(0,O70+M71-N71)</f>
        <v/>
      </c>
    </row>
    <row r="72">
      <c r="A72" s="11" t="n">
        <v>48245</v>
      </c>
      <c r="B72" s="15">
        <f>IF(MONTH(A72)=4,B71*(1+Inputs!$B$6),B71)</f>
        <v/>
      </c>
      <c r="C72" s="15">
        <f>IF(AND(MONTH(A72)=4,YEAR(A72)&gt;=Inputs!$B$20),C71*(1+Inputs!$B$21),C71)</f>
        <v/>
      </c>
      <c r="D72" s="15">
        <f>IF(AND(MONTH(A72)=4,YEAR(A72)&gt;=Inputs!$B$20),D71*(1+Inputs!$B$21),D71)</f>
        <v/>
      </c>
      <c r="E72" s="12">
        <f>VLOOKUP(A72,Inputs!$A$53:$C$55,2,TRUE)</f>
        <v/>
      </c>
      <c r="F72" s="12">
        <f>VLOOKUP(A72,Inputs!$A$53:$C$55,3,TRUE)</f>
        <v/>
      </c>
      <c r="G72" s="12">
        <f>MIN(F72,E72+0.03*MAX(0,MIN(1,(B72-C72)/(D72-C72))))</f>
        <v/>
      </c>
      <c r="H72" s="13">
        <f>MAX(0,0.09*(B72-C72)/12)</f>
        <v/>
      </c>
      <c r="I72" s="13">
        <f>K71*G72/12</f>
        <v/>
      </c>
      <c r="J72" s="13">
        <f>MIN(H72,K71+I72)</f>
        <v/>
      </c>
      <c r="K72" s="13">
        <f>MAX(0,K71+I72-J72)</f>
        <v/>
      </c>
      <c r="L72" s="13">
        <f>Inputs!$B$7+IF(AND(YEAR(A72)=YEAR(Inputs!$B$9),MONTH(A72)=MONTH(Inputs!$B$9)),Inputs!$B$8,0)</f>
        <v/>
      </c>
      <c r="M72" s="13">
        <f>O71*G72/12</f>
        <v/>
      </c>
      <c r="N72" s="13">
        <f>MIN(H72+L72,O71+M72)</f>
        <v/>
      </c>
      <c r="O72" s="13">
        <f>MAX(0,O71+M72-N72)</f>
        <v/>
      </c>
    </row>
    <row r="73">
      <c r="A73" s="11" t="n">
        <v>48274</v>
      </c>
      <c r="B73" s="15">
        <f>IF(MONTH(A73)=4,B72*(1+Inputs!$B$6),B72)</f>
        <v/>
      </c>
      <c r="C73" s="15">
        <f>IF(AND(MONTH(A73)=4,YEAR(A73)&gt;=Inputs!$B$20),C72*(1+Inputs!$B$21),C72)</f>
        <v/>
      </c>
      <c r="D73" s="15">
        <f>IF(AND(MONTH(A73)=4,YEAR(A73)&gt;=Inputs!$B$20),D72*(1+Inputs!$B$21),D72)</f>
        <v/>
      </c>
      <c r="E73" s="12">
        <f>VLOOKUP(A73,Inputs!$A$53:$C$55,2,TRUE)</f>
        <v/>
      </c>
      <c r="F73" s="12">
        <f>VLOOKUP(A73,Inputs!$A$53:$C$55,3,TRUE)</f>
        <v/>
      </c>
      <c r="G73" s="12">
        <f>MIN(F73,E73+0.03*MAX(0,MIN(1,(B73-C73)/(D73-C73))))</f>
        <v/>
      </c>
      <c r="H73" s="13">
        <f>MAX(0,0.09*(B73-C73)/12)</f>
        <v/>
      </c>
      <c r="I73" s="13">
        <f>K72*G73/12</f>
        <v/>
      </c>
      <c r="J73" s="13">
        <f>MIN(H73,K72+I73)</f>
        <v/>
      </c>
      <c r="K73" s="13">
        <f>MAX(0,K72+I73-J73)</f>
        <v/>
      </c>
      <c r="L73" s="13">
        <f>Inputs!$B$7+IF(AND(YEAR(A73)=YEAR(Inputs!$B$9),MONTH(A73)=MONTH(Inputs!$B$9)),Inputs!$B$8,0)</f>
        <v/>
      </c>
      <c r="M73" s="13">
        <f>O72*G73/12</f>
        <v/>
      </c>
      <c r="N73" s="13">
        <f>MIN(H73+L73,O72+M73)</f>
        <v/>
      </c>
      <c r="O73" s="13">
        <f>MAX(0,O72+M73-N73)</f>
        <v/>
      </c>
    </row>
    <row r="74">
      <c r="A74" s="11" t="n">
        <v>48305</v>
      </c>
      <c r="B74" s="15">
        <f>IF(MONTH(A74)=4,B73*(1+Inputs!$B$6),B73)</f>
        <v/>
      </c>
      <c r="C74" s="15">
        <f>IF(AND(MONTH(A74)=4,YEAR(A74)&gt;=Inputs!$B$20),C73*(1+Inputs!$B$21),C73)</f>
        <v/>
      </c>
      <c r="D74" s="15">
        <f>IF(AND(MONTH(A74)=4,YEAR(A74)&gt;=Inputs!$B$20),D73*(1+Inputs!$B$21),D73)</f>
        <v/>
      </c>
      <c r="E74" s="12">
        <f>VLOOKUP(A74,Inputs!$A$53:$C$55,2,TRUE)</f>
        <v/>
      </c>
      <c r="F74" s="12">
        <f>VLOOKUP(A74,Inputs!$A$53:$C$55,3,TRUE)</f>
        <v/>
      </c>
      <c r="G74" s="12">
        <f>MIN(F74,E74+0.03*MAX(0,MIN(1,(B74-C74)/(D74-C74))))</f>
        <v/>
      </c>
      <c r="H74" s="13">
        <f>MAX(0,0.09*(B74-C74)/12)</f>
        <v/>
      </c>
      <c r="I74" s="13">
        <f>K73*G74/12</f>
        <v/>
      </c>
      <c r="J74" s="13">
        <f>MIN(H74,K73+I74)</f>
        <v/>
      </c>
      <c r="K74" s="13">
        <f>MAX(0,K73+I74-J74)</f>
        <v/>
      </c>
      <c r="L74" s="13">
        <f>Inputs!$B$7+IF(AND(YEAR(A74)=YEAR(Inputs!$B$9),MONTH(A74)=MONTH(Inputs!$B$9)),Inputs!$B$8,0)</f>
        <v/>
      </c>
      <c r="M74" s="13">
        <f>O73*G74/12</f>
        <v/>
      </c>
      <c r="N74" s="13">
        <f>MIN(H74+L74,O73+M74)</f>
        <v/>
      </c>
      <c r="O74" s="13">
        <f>MAX(0,O73+M74-N74)</f>
        <v/>
      </c>
    </row>
    <row r="75">
      <c r="A75" s="11" t="n">
        <v>48335</v>
      </c>
      <c r="B75" s="15">
        <f>IF(MONTH(A75)=4,B74*(1+Inputs!$B$6),B74)</f>
        <v/>
      </c>
      <c r="C75" s="15">
        <f>IF(AND(MONTH(A75)=4,YEAR(A75)&gt;=Inputs!$B$20),C74*(1+Inputs!$B$21),C74)</f>
        <v/>
      </c>
      <c r="D75" s="15">
        <f>IF(AND(MONTH(A75)=4,YEAR(A75)&gt;=Inputs!$B$20),D74*(1+Inputs!$B$21),D74)</f>
        <v/>
      </c>
      <c r="E75" s="12">
        <f>VLOOKUP(A75,Inputs!$A$53:$C$55,2,TRUE)</f>
        <v/>
      </c>
      <c r="F75" s="12">
        <f>VLOOKUP(A75,Inputs!$A$53:$C$55,3,TRUE)</f>
        <v/>
      </c>
      <c r="G75" s="12">
        <f>MIN(F75,E75+0.03*MAX(0,MIN(1,(B75-C75)/(D75-C75))))</f>
        <v/>
      </c>
      <c r="H75" s="13">
        <f>MAX(0,0.09*(B75-C75)/12)</f>
        <v/>
      </c>
      <c r="I75" s="13">
        <f>K74*G75/12</f>
        <v/>
      </c>
      <c r="J75" s="13">
        <f>MIN(H75,K74+I75)</f>
        <v/>
      </c>
      <c r="K75" s="13">
        <f>MAX(0,K74+I75-J75)</f>
        <v/>
      </c>
      <c r="L75" s="13">
        <f>Inputs!$B$7+IF(AND(YEAR(A75)=YEAR(Inputs!$B$9),MONTH(A75)=MONTH(Inputs!$B$9)),Inputs!$B$8,0)</f>
        <v/>
      </c>
      <c r="M75" s="13">
        <f>O74*G75/12</f>
        <v/>
      </c>
      <c r="N75" s="13">
        <f>MIN(H75+L75,O74+M75)</f>
        <v/>
      </c>
      <c r="O75" s="13">
        <f>MAX(0,O74+M75-N75)</f>
        <v/>
      </c>
    </row>
    <row r="76">
      <c r="A76" s="11" t="n">
        <v>48366</v>
      </c>
      <c r="B76" s="15">
        <f>IF(MONTH(A76)=4,B75*(1+Inputs!$B$6),B75)</f>
        <v/>
      </c>
      <c r="C76" s="15">
        <f>IF(AND(MONTH(A76)=4,YEAR(A76)&gt;=Inputs!$B$20),C75*(1+Inputs!$B$21),C75)</f>
        <v/>
      </c>
      <c r="D76" s="15">
        <f>IF(AND(MONTH(A76)=4,YEAR(A76)&gt;=Inputs!$B$20),D75*(1+Inputs!$B$21),D75)</f>
        <v/>
      </c>
      <c r="E76" s="12">
        <f>VLOOKUP(A76,Inputs!$A$53:$C$55,2,TRUE)</f>
        <v/>
      </c>
      <c r="F76" s="12">
        <f>VLOOKUP(A76,Inputs!$A$53:$C$55,3,TRUE)</f>
        <v/>
      </c>
      <c r="G76" s="12">
        <f>MIN(F76,E76+0.03*MAX(0,MIN(1,(B76-C76)/(D76-C76))))</f>
        <v/>
      </c>
      <c r="H76" s="13">
        <f>MAX(0,0.09*(B76-C76)/12)</f>
        <v/>
      </c>
      <c r="I76" s="13">
        <f>K75*G76/12</f>
        <v/>
      </c>
      <c r="J76" s="13">
        <f>MIN(H76,K75+I76)</f>
        <v/>
      </c>
      <c r="K76" s="13">
        <f>MAX(0,K75+I76-J76)</f>
        <v/>
      </c>
      <c r="L76" s="13">
        <f>Inputs!$B$7+IF(AND(YEAR(A76)=YEAR(Inputs!$B$9),MONTH(A76)=MONTH(Inputs!$B$9)),Inputs!$B$8,0)</f>
        <v/>
      </c>
      <c r="M76" s="13">
        <f>O75*G76/12</f>
        <v/>
      </c>
      <c r="N76" s="13">
        <f>MIN(H76+L76,O75+M76)</f>
        <v/>
      </c>
      <c r="O76" s="13">
        <f>MAX(0,O75+M76-N76)</f>
        <v/>
      </c>
    </row>
    <row r="77">
      <c r="A77" s="11" t="n">
        <v>48396</v>
      </c>
      <c r="B77" s="15">
        <f>IF(MONTH(A77)=4,B76*(1+Inputs!$B$6),B76)</f>
        <v/>
      </c>
      <c r="C77" s="15">
        <f>IF(AND(MONTH(A77)=4,YEAR(A77)&gt;=Inputs!$B$20),C76*(1+Inputs!$B$21),C76)</f>
        <v/>
      </c>
      <c r="D77" s="15">
        <f>IF(AND(MONTH(A77)=4,YEAR(A77)&gt;=Inputs!$B$20),D76*(1+Inputs!$B$21),D76)</f>
        <v/>
      </c>
      <c r="E77" s="12">
        <f>VLOOKUP(A77,Inputs!$A$53:$C$55,2,TRUE)</f>
        <v/>
      </c>
      <c r="F77" s="12">
        <f>VLOOKUP(A77,Inputs!$A$53:$C$55,3,TRUE)</f>
        <v/>
      </c>
      <c r="G77" s="12">
        <f>MIN(F77,E77+0.03*MAX(0,MIN(1,(B77-C77)/(D77-C77))))</f>
        <v/>
      </c>
      <c r="H77" s="13">
        <f>MAX(0,0.09*(B77-C77)/12)</f>
        <v/>
      </c>
      <c r="I77" s="13">
        <f>K76*G77/12</f>
        <v/>
      </c>
      <c r="J77" s="13">
        <f>MIN(H77,K76+I77)</f>
        <v/>
      </c>
      <c r="K77" s="13">
        <f>MAX(0,K76+I77-J77)</f>
        <v/>
      </c>
      <c r="L77" s="13">
        <f>Inputs!$B$7+IF(AND(YEAR(A77)=YEAR(Inputs!$B$9),MONTH(A77)=MONTH(Inputs!$B$9)),Inputs!$B$8,0)</f>
        <v/>
      </c>
      <c r="M77" s="13">
        <f>O76*G77/12</f>
        <v/>
      </c>
      <c r="N77" s="13">
        <f>MIN(H77+L77,O76+M77)</f>
        <v/>
      </c>
      <c r="O77" s="13">
        <f>MAX(0,O76+M77-N77)</f>
        <v/>
      </c>
    </row>
    <row r="78">
      <c r="A78" s="11" t="n">
        <v>48427</v>
      </c>
      <c r="B78" s="15">
        <f>IF(MONTH(A78)=4,B77*(1+Inputs!$B$6),B77)</f>
        <v/>
      </c>
      <c r="C78" s="15">
        <f>IF(AND(MONTH(A78)=4,YEAR(A78)&gt;=Inputs!$B$20),C77*(1+Inputs!$B$21),C77)</f>
        <v/>
      </c>
      <c r="D78" s="15">
        <f>IF(AND(MONTH(A78)=4,YEAR(A78)&gt;=Inputs!$B$20),D77*(1+Inputs!$B$21),D77)</f>
        <v/>
      </c>
      <c r="E78" s="12">
        <f>VLOOKUP(A78,Inputs!$A$53:$C$55,2,TRUE)</f>
        <v/>
      </c>
      <c r="F78" s="12">
        <f>VLOOKUP(A78,Inputs!$A$53:$C$55,3,TRUE)</f>
        <v/>
      </c>
      <c r="G78" s="12">
        <f>MIN(F78,E78+0.03*MAX(0,MIN(1,(B78-C78)/(D78-C78))))</f>
        <v/>
      </c>
      <c r="H78" s="13">
        <f>MAX(0,0.09*(B78-C78)/12)</f>
        <v/>
      </c>
      <c r="I78" s="13">
        <f>K77*G78/12</f>
        <v/>
      </c>
      <c r="J78" s="13">
        <f>MIN(H78,K77+I78)</f>
        <v/>
      </c>
      <c r="K78" s="13">
        <f>MAX(0,K77+I78-J78)</f>
        <v/>
      </c>
      <c r="L78" s="13">
        <f>Inputs!$B$7+IF(AND(YEAR(A78)=YEAR(Inputs!$B$9),MONTH(A78)=MONTH(Inputs!$B$9)),Inputs!$B$8,0)</f>
        <v/>
      </c>
      <c r="M78" s="13">
        <f>O77*G78/12</f>
        <v/>
      </c>
      <c r="N78" s="13">
        <f>MIN(H78+L78,O77+M78)</f>
        <v/>
      </c>
      <c r="O78" s="13">
        <f>MAX(0,O77+M78-N78)</f>
        <v/>
      </c>
    </row>
    <row r="79">
      <c r="A79" s="11" t="n">
        <v>48458</v>
      </c>
      <c r="B79" s="15">
        <f>IF(MONTH(A79)=4,B78*(1+Inputs!$B$6),B78)</f>
        <v/>
      </c>
      <c r="C79" s="15">
        <f>IF(AND(MONTH(A79)=4,YEAR(A79)&gt;=Inputs!$B$20),C78*(1+Inputs!$B$21),C78)</f>
        <v/>
      </c>
      <c r="D79" s="15">
        <f>IF(AND(MONTH(A79)=4,YEAR(A79)&gt;=Inputs!$B$20),D78*(1+Inputs!$B$21),D78)</f>
        <v/>
      </c>
      <c r="E79" s="12">
        <f>VLOOKUP(A79,Inputs!$A$53:$C$55,2,TRUE)</f>
        <v/>
      </c>
      <c r="F79" s="12">
        <f>VLOOKUP(A79,Inputs!$A$53:$C$55,3,TRUE)</f>
        <v/>
      </c>
      <c r="G79" s="12">
        <f>MIN(F79,E79+0.03*MAX(0,MIN(1,(B79-C79)/(D79-C79))))</f>
        <v/>
      </c>
      <c r="H79" s="13">
        <f>MAX(0,0.09*(B79-C79)/12)</f>
        <v/>
      </c>
      <c r="I79" s="13">
        <f>K78*G79/12</f>
        <v/>
      </c>
      <c r="J79" s="13">
        <f>MIN(H79,K78+I79)</f>
        <v/>
      </c>
      <c r="K79" s="13">
        <f>MAX(0,K78+I79-J79)</f>
        <v/>
      </c>
      <c r="L79" s="13">
        <f>Inputs!$B$7+IF(AND(YEAR(A79)=YEAR(Inputs!$B$9),MONTH(A79)=MONTH(Inputs!$B$9)),Inputs!$B$8,0)</f>
        <v/>
      </c>
      <c r="M79" s="13">
        <f>O78*G79/12</f>
        <v/>
      </c>
      <c r="N79" s="13">
        <f>MIN(H79+L79,O78+M79)</f>
        <v/>
      </c>
      <c r="O79" s="13">
        <f>MAX(0,O78+M79-N79)</f>
        <v/>
      </c>
    </row>
    <row r="80">
      <c r="A80" s="11" t="n">
        <v>48488</v>
      </c>
      <c r="B80" s="15">
        <f>IF(MONTH(A80)=4,B79*(1+Inputs!$B$6),B79)</f>
        <v/>
      </c>
      <c r="C80" s="15">
        <f>IF(AND(MONTH(A80)=4,YEAR(A80)&gt;=Inputs!$B$20),C79*(1+Inputs!$B$21),C79)</f>
        <v/>
      </c>
      <c r="D80" s="15">
        <f>IF(AND(MONTH(A80)=4,YEAR(A80)&gt;=Inputs!$B$20),D79*(1+Inputs!$B$21),D79)</f>
        <v/>
      </c>
      <c r="E80" s="12">
        <f>VLOOKUP(A80,Inputs!$A$53:$C$55,2,TRUE)</f>
        <v/>
      </c>
      <c r="F80" s="12">
        <f>VLOOKUP(A80,Inputs!$A$53:$C$55,3,TRUE)</f>
        <v/>
      </c>
      <c r="G80" s="12">
        <f>MIN(F80,E80+0.03*MAX(0,MIN(1,(B80-C80)/(D80-C80))))</f>
        <v/>
      </c>
      <c r="H80" s="13">
        <f>MAX(0,0.09*(B80-C80)/12)</f>
        <v/>
      </c>
      <c r="I80" s="13">
        <f>K79*G80/12</f>
        <v/>
      </c>
      <c r="J80" s="13">
        <f>MIN(H80,K79+I80)</f>
        <v/>
      </c>
      <c r="K80" s="13">
        <f>MAX(0,K79+I80-J80)</f>
        <v/>
      </c>
      <c r="L80" s="13">
        <f>Inputs!$B$7+IF(AND(YEAR(A80)=YEAR(Inputs!$B$9),MONTH(A80)=MONTH(Inputs!$B$9)),Inputs!$B$8,0)</f>
        <v/>
      </c>
      <c r="M80" s="13">
        <f>O79*G80/12</f>
        <v/>
      </c>
      <c r="N80" s="13">
        <f>MIN(H80+L80,O79+M80)</f>
        <v/>
      </c>
      <c r="O80" s="13">
        <f>MAX(0,O79+M80-N80)</f>
        <v/>
      </c>
    </row>
    <row r="81">
      <c r="A81" s="11" t="n">
        <v>48519</v>
      </c>
      <c r="B81" s="15">
        <f>IF(MONTH(A81)=4,B80*(1+Inputs!$B$6),B80)</f>
        <v/>
      </c>
      <c r="C81" s="15">
        <f>IF(AND(MONTH(A81)=4,YEAR(A81)&gt;=Inputs!$B$20),C80*(1+Inputs!$B$21),C80)</f>
        <v/>
      </c>
      <c r="D81" s="15">
        <f>IF(AND(MONTH(A81)=4,YEAR(A81)&gt;=Inputs!$B$20),D80*(1+Inputs!$B$21),D80)</f>
        <v/>
      </c>
      <c r="E81" s="12">
        <f>VLOOKUP(A81,Inputs!$A$53:$C$55,2,TRUE)</f>
        <v/>
      </c>
      <c r="F81" s="12">
        <f>VLOOKUP(A81,Inputs!$A$53:$C$55,3,TRUE)</f>
        <v/>
      </c>
      <c r="G81" s="12">
        <f>MIN(F81,E81+0.03*MAX(0,MIN(1,(B81-C81)/(D81-C81))))</f>
        <v/>
      </c>
      <c r="H81" s="13">
        <f>MAX(0,0.09*(B81-C81)/12)</f>
        <v/>
      </c>
      <c r="I81" s="13">
        <f>K80*G81/12</f>
        <v/>
      </c>
      <c r="J81" s="13">
        <f>MIN(H81,K80+I81)</f>
        <v/>
      </c>
      <c r="K81" s="13">
        <f>MAX(0,K80+I81-J81)</f>
        <v/>
      </c>
      <c r="L81" s="13">
        <f>Inputs!$B$7+IF(AND(YEAR(A81)=YEAR(Inputs!$B$9),MONTH(A81)=MONTH(Inputs!$B$9)),Inputs!$B$8,0)</f>
        <v/>
      </c>
      <c r="M81" s="13">
        <f>O80*G81/12</f>
        <v/>
      </c>
      <c r="N81" s="13">
        <f>MIN(H81+L81,O80+M81)</f>
        <v/>
      </c>
      <c r="O81" s="13">
        <f>MAX(0,O80+M81-N81)</f>
        <v/>
      </c>
    </row>
    <row r="82">
      <c r="A82" s="11" t="n">
        <v>48549</v>
      </c>
      <c r="B82" s="15">
        <f>IF(MONTH(A82)=4,B81*(1+Inputs!$B$6),B81)</f>
        <v/>
      </c>
      <c r="C82" s="15">
        <f>IF(AND(MONTH(A82)=4,YEAR(A82)&gt;=Inputs!$B$20),C81*(1+Inputs!$B$21),C81)</f>
        <v/>
      </c>
      <c r="D82" s="15">
        <f>IF(AND(MONTH(A82)=4,YEAR(A82)&gt;=Inputs!$B$20),D81*(1+Inputs!$B$21),D81)</f>
        <v/>
      </c>
      <c r="E82" s="12">
        <f>VLOOKUP(A82,Inputs!$A$53:$C$55,2,TRUE)</f>
        <v/>
      </c>
      <c r="F82" s="12">
        <f>VLOOKUP(A82,Inputs!$A$53:$C$55,3,TRUE)</f>
        <v/>
      </c>
      <c r="G82" s="12">
        <f>MIN(F82,E82+0.03*MAX(0,MIN(1,(B82-C82)/(D82-C82))))</f>
        <v/>
      </c>
      <c r="H82" s="13">
        <f>MAX(0,0.09*(B82-C82)/12)</f>
        <v/>
      </c>
      <c r="I82" s="13">
        <f>K81*G82/12</f>
        <v/>
      </c>
      <c r="J82" s="13">
        <f>MIN(H82,K81+I82)</f>
        <v/>
      </c>
      <c r="K82" s="13">
        <f>MAX(0,K81+I82-J82)</f>
        <v/>
      </c>
      <c r="L82" s="13">
        <f>Inputs!$B$7+IF(AND(YEAR(A82)=YEAR(Inputs!$B$9),MONTH(A82)=MONTH(Inputs!$B$9)),Inputs!$B$8,0)</f>
        <v/>
      </c>
      <c r="M82" s="13">
        <f>O81*G82/12</f>
        <v/>
      </c>
      <c r="N82" s="13">
        <f>MIN(H82+L82,O81+M82)</f>
        <v/>
      </c>
      <c r="O82" s="13">
        <f>MAX(0,O81+M82-N82)</f>
        <v/>
      </c>
    </row>
    <row r="83">
      <c r="A83" s="11" t="n">
        <v>48580</v>
      </c>
      <c r="B83" s="15">
        <f>IF(MONTH(A83)=4,B82*(1+Inputs!$B$6),B82)</f>
        <v/>
      </c>
      <c r="C83" s="15">
        <f>IF(AND(MONTH(A83)=4,YEAR(A83)&gt;=Inputs!$B$20),C82*(1+Inputs!$B$21),C82)</f>
        <v/>
      </c>
      <c r="D83" s="15">
        <f>IF(AND(MONTH(A83)=4,YEAR(A83)&gt;=Inputs!$B$20),D82*(1+Inputs!$B$21),D82)</f>
        <v/>
      </c>
      <c r="E83" s="12">
        <f>VLOOKUP(A83,Inputs!$A$53:$C$55,2,TRUE)</f>
        <v/>
      </c>
      <c r="F83" s="12">
        <f>VLOOKUP(A83,Inputs!$A$53:$C$55,3,TRUE)</f>
        <v/>
      </c>
      <c r="G83" s="12">
        <f>MIN(F83,E83+0.03*MAX(0,MIN(1,(B83-C83)/(D83-C83))))</f>
        <v/>
      </c>
      <c r="H83" s="13">
        <f>MAX(0,0.09*(B83-C83)/12)</f>
        <v/>
      </c>
      <c r="I83" s="13">
        <f>K82*G83/12</f>
        <v/>
      </c>
      <c r="J83" s="13">
        <f>MIN(H83,K82+I83)</f>
        <v/>
      </c>
      <c r="K83" s="13">
        <f>MAX(0,K82+I83-J83)</f>
        <v/>
      </c>
      <c r="L83" s="13">
        <f>Inputs!$B$7+IF(AND(YEAR(A83)=YEAR(Inputs!$B$9),MONTH(A83)=MONTH(Inputs!$B$9)),Inputs!$B$8,0)</f>
        <v/>
      </c>
      <c r="M83" s="13">
        <f>O82*G83/12</f>
        <v/>
      </c>
      <c r="N83" s="13">
        <f>MIN(H83+L83,O82+M83)</f>
        <v/>
      </c>
      <c r="O83" s="13">
        <f>MAX(0,O82+M83-N83)</f>
        <v/>
      </c>
    </row>
    <row r="84">
      <c r="A84" s="11" t="n">
        <v>48611</v>
      </c>
      <c r="B84" s="15">
        <f>IF(MONTH(A84)=4,B83*(1+Inputs!$B$6),B83)</f>
        <v/>
      </c>
      <c r="C84" s="15">
        <f>IF(AND(MONTH(A84)=4,YEAR(A84)&gt;=Inputs!$B$20),C83*(1+Inputs!$B$21),C83)</f>
        <v/>
      </c>
      <c r="D84" s="15">
        <f>IF(AND(MONTH(A84)=4,YEAR(A84)&gt;=Inputs!$B$20),D83*(1+Inputs!$B$21),D83)</f>
        <v/>
      </c>
      <c r="E84" s="12">
        <f>VLOOKUP(A84,Inputs!$A$53:$C$55,2,TRUE)</f>
        <v/>
      </c>
      <c r="F84" s="12">
        <f>VLOOKUP(A84,Inputs!$A$53:$C$55,3,TRUE)</f>
        <v/>
      </c>
      <c r="G84" s="12">
        <f>MIN(F84,E84+0.03*MAX(0,MIN(1,(B84-C84)/(D84-C84))))</f>
        <v/>
      </c>
      <c r="H84" s="13">
        <f>MAX(0,0.09*(B84-C84)/12)</f>
        <v/>
      </c>
      <c r="I84" s="13">
        <f>K83*G84/12</f>
        <v/>
      </c>
      <c r="J84" s="13">
        <f>MIN(H84,K83+I84)</f>
        <v/>
      </c>
      <c r="K84" s="13">
        <f>MAX(0,K83+I84-J84)</f>
        <v/>
      </c>
      <c r="L84" s="13">
        <f>Inputs!$B$7+IF(AND(YEAR(A84)=YEAR(Inputs!$B$9),MONTH(A84)=MONTH(Inputs!$B$9)),Inputs!$B$8,0)</f>
        <v/>
      </c>
      <c r="M84" s="13">
        <f>O83*G84/12</f>
        <v/>
      </c>
      <c r="N84" s="13">
        <f>MIN(H84+L84,O83+M84)</f>
        <v/>
      </c>
      <c r="O84" s="13">
        <f>MAX(0,O83+M84-N84)</f>
        <v/>
      </c>
    </row>
    <row r="85">
      <c r="A85" s="11" t="n">
        <v>48639</v>
      </c>
      <c r="B85" s="15">
        <f>IF(MONTH(A85)=4,B84*(1+Inputs!$B$6),B84)</f>
        <v/>
      </c>
      <c r="C85" s="15">
        <f>IF(AND(MONTH(A85)=4,YEAR(A85)&gt;=Inputs!$B$20),C84*(1+Inputs!$B$21),C84)</f>
        <v/>
      </c>
      <c r="D85" s="15">
        <f>IF(AND(MONTH(A85)=4,YEAR(A85)&gt;=Inputs!$B$20),D84*(1+Inputs!$B$21),D84)</f>
        <v/>
      </c>
      <c r="E85" s="12">
        <f>VLOOKUP(A85,Inputs!$A$53:$C$55,2,TRUE)</f>
        <v/>
      </c>
      <c r="F85" s="12">
        <f>VLOOKUP(A85,Inputs!$A$53:$C$55,3,TRUE)</f>
        <v/>
      </c>
      <c r="G85" s="12">
        <f>MIN(F85,E85+0.03*MAX(0,MIN(1,(B85-C85)/(D85-C85))))</f>
        <v/>
      </c>
      <c r="H85" s="13">
        <f>MAX(0,0.09*(B85-C85)/12)</f>
        <v/>
      </c>
      <c r="I85" s="13">
        <f>K84*G85/12</f>
        <v/>
      </c>
      <c r="J85" s="13">
        <f>MIN(H85,K84+I85)</f>
        <v/>
      </c>
      <c r="K85" s="13">
        <f>MAX(0,K84+I85-J85)</f>
        <v/>
      </c>
      <c r="L85" s="13">
        <f>Inputs!$B$7+IF(AND(YEAR(A85)=YEAR(Inputs!$B$9),MONTH(A85)=MONTH(Inputs!$B$9)),Inputs!$B$8,0)</f>
        <v/>
      </c>
      <c r="M85" s="13">
        <f>O84*G85/12</f>
        <v/>
      </c>
      <c r="N85" s="13">
        <f>MIN(H85+L85,O84+M85)</f>
        <v/>
      </c>
      <c r="O85" s="13">
        <f>MAX(0,O84+M85-N85)</f>
        <v/>
      </c>
    </row>
    <row r="86">
      <c r="A86" s="11" t="n">
        <v>48670</v>
      </c>
      <c r="B86" s="15">
        <f>IF(MONTH(A86)=4,B85*(1+Inputs!$B$6),B85)</f>
        <v/>
      </c>
      <c r="C86" s="15">
        <f>IF(AND(MONTH(A86)=4,YEAR(A86)&gt;=Inputs!$B$20),C85*(1+Inputs!$B$21),C85)</f>
        <v/>
      </c>
      <c r="D86" s="15">
        <f>IF(AND(MONTH(A86)=4,YEAR(A86)&gt;=Inputs!$B$20),D85*(1+Inputs!$B$21),D85)</f>
        <v/>
      </c>
      <c r="E86" s="12">
        <f>VLOOKUP(A86,Inputs!$A$53:$C$55,2,TRUE)</f>
        <v/>
      </c>
      <c r="F86" s="12">
        <f>VLOOKUP(A86,Inputs!$A$53:$C$55,3,TRUE)</f>
        <v/>
      </c>
      <c r="G86" s="12">
        <f>MIN(F86,E86+0.03*MAX(0,MIN(1,(B86-C86)/(D86-C86))))</f>
        <v/>
      </c>
      <c r="H86" s="13">
        <f>MAX(0,0.09*(B86-C86)/12)</f>
        <v/>
      </c>
      <c r="I86" s="13">
        <f>K85*G86/12</f>
        <v/>
      </c>
      <c r="J86" s="13">
        <f>MIN(H86,K85+I86)</f>
        <v/>
      </c>
      <c r="K86" s="13">
        <f>MAX(0,K85+I86-J86)</f>
        <v/>
      </c>
      <c r="L86" s="13">
        <f>Inputs!$B$7+IF(AND(YEAR(A86)=YEAR(Inputs!$B$9),MONTH(A86)=MONTH(Inputs!$B$9)),Inputs!$B$8,0)</f>
        <v/>
      </c>
      <c r="M86" s="13">
        <f>O85*G86/12</f>
        <v/>
      </c>
      <c r="N86" s="13">
        <f>MIN(H86+L86,O85+M86)</f>
        <v/>
      </c>
      <c r="O86" s="13">
        <f>MAX(0,O85+M86-N86)</f>
        <v/>
      </c>
    </row>
    <row r="87">
      <c r="A87" s="11" t="n">
        <v>48700</v>
      </c>
      <c r="B87" s="15">
        <f>IF(MONTH(A87)=4,B86*(1+Inputs!$B$6),B86)</f>
        <v/>
      </c>
      <c r="C87" s="15">
        <f>IF(AND(MONTH(A87)=4,YEAR(A87)&gt;=Inputs!$B$20),C86*(1+Inputs!$B$21),C86)</f>
        <v/>
      </c>
      <c r="D87" s="15">
        <f>IF(AND(MONTH(A87)=4,YEAR(A87)&gt;=Inputs!$B$20),D86*(1+Inputs!$B$21),D86)</f>
        <v/>
      </c>
      <c r="E87" s="12">
        <f>VLOOKUP(A87,Inputs!$A$53:$C$55,2,TRUE)</f>
        <v/>
      </c>
      <c r="F87" s="12">
        <f>VLOOKUP(A87,Inputs!$A$53:$C$55,3,TRUE)</f>
        <v/>
      </c>
      <c r="G87" s="12">
        <f>MIN(F87,E87+0.03*MAX(0,MIN(1,(B87-C87)/(D87-C87))))</f>
        <v/>
      </c>
      <c r="H87" s="13">
        <f>MAX(0,0.09*(B87-C87)/12)</f>
        <v/>
      </c>
      <c r="I87" s="13">
        <f>K86*G87/12</f>
        <v/>
      </c>
      <c r="J87" s="13">
        <f>MIN(H87,K86+I87)</f>
        <v/>
      </c>
      <c r="K87" s="13">
        <f>MAX(0,K86+I87-J87)</f>
        <v/>
      </c>
      <c r="L87" s="13">
        <f>Inputs!$B$7+IF(AND(YEAR(A87)=YEAR(Inputs!$B$9),MONTH(A87)=MONTH(Inputs!$B$9)),Inputs!$B$8,0)</f>
        <v/>
      </c>
      <c r="M87" s="13">
        <f>O86*G87/12</f>
        <v/>
      </c>
      <c r="N87" s="13">
        <f>MIN(H87+L87,O86+M87)</f>
        <v/>
      </c>
      <c r="O87" s="13">
        <f>MAX(0,O86+M87-N87)</f>
        <v/>
      </c>
    </row>
    <row r="88">
      <c r="A88" s="11" t="n">
        <v>48731</v>
      </c>
      <c r="B88" s="15">
        <f>IF(MONTH(A88)=4,B87*(1+Inputs!$B$6),B87)</f>
        <v/>
      </c>
      <c r="C88" s="15">
        <f>IF(AND(MONTH(A88)=4,YEAR(A88)&gt;=Inputs!$B$20),C87*(1+Inputs!$B$21),C87)</f>
        <v/>
      </c>
      <c r="D88" s="15">
        <f>IF(AND(MONTH(A88)=4,YEAR(A88)&gt;=Inputs!$B$20),D87*(1+Inputs!$B$21),D87)</f>
        <v/>
      </c>
      <c r="E88" s="12">
        <f>VLOOKUP(A88,Inputs!$A$53:$C$55,2,TRUE)</f>
        <v/>
      </c>
      <c r="F88" s="12">
        <f>VLOOKUP(A88,Inputs!$A$53:$C$55,3,TRUE)</f>
        <v/>
      </c>
      <c r="G88" s="12">
        <f>MIN(F88,E88+0.03*MAX(0,MIN(1,(B88-C88)/(D88-C88))))</f>
        <v/>
      </c>
      <c r="H88" s="13">
        <f>MAX(0,0.09*(B88-C88)/12)</f>
        <v/>
      </c>
      <c r="I88" s="13">
        <f>K87*G88/12</f>
        <v/>
      </c>
      <c r="J88" s="13">
        <f>MIN(H88,K87+I88)</f>
        <v/>
      </c>
      <c r="K88" s="13">
        <f>MAX(0,K87+I88-J88)</f>
        <v/>
      </c>
      <c r="L88" s="13">
        <f>Inputs!$B$7+IF(AND(YEAR(A88)=YEAR(Inputs!$B$9),MONTH(A88)=MONTH(Inputs!$B$9)),Inputs!$B$8,0)</f>
        <v/>
      </c>
      <c r="M88" s="13">
        <f>O87*G88/12</f>
        <v/>
      </c>
      <c r="N88" s="13">
        <f>MIN(H88+L88,O87+M88)</f>
        <v/>
      </c>
      <c r="O88" s="13">
        <f>MAX(0,O87+M88-N88)</f>
        <v/>
      </c>
    </row>
    <row r="89">
      <c r="A89" s="11" t="n">
        <v>48761</v>
      </c>
      <c r="B89" s="15">
        <f>IF(MONTH(A89)=4,B88*(1+Inputs!$B$6),B88)</f>
        <v/>
      </c>
      <c r="C89" s="15">
        <f>IF(AND(MONTH(A89)=4,YEAR(A89)&gt;=Inputs!$B$20),C88*(1+Inputs!$B$21),C88)</f>
        <v/>
      </c>
      <c r="D89" s="15">
        <f>IF(AND(MONTH(A89)=4,YEAR(A89)&gt;=Inputs!$B$20),D88*(1+Inputs!$B$21),D88)</f>
        <v/>
      </c>
      <c r="E89" s="12">
        <f>VLOOKUP(A89,Inputs!$A$53:$C$55,2,TRUE)</f>
        <v/>
      </c>
      <c r="F89" s="12">
        <f>VLOOKUP(A89,Inputs!$A$53:$C$55,3,TRUE)</f>
        <v/>
      </c>
      <c r="G89" s="12">
        <f>MIN(F89,E89+0.03*MAX(0,MIN(1,(B89-C89)/(D89-C89))))</f>
        <v/>
      </c>
      <c r="H89" s="13">
        <f>MAX(0,0.09*(B89-C89)/12)</f>
        <v/>
      </c>
      <c r="I89" s="13">
        <f>K88*G89/12</f>
        <v/>
      </c>
      <c r="J89" s="13">
        <f>MIN(H89,K88+I89)</f>
        <v/>
      </c>
      <c r="K89" s="13">
        <f>MAX(0,K88+I89-J89)</f>
        <v/>
      </c>
      <c r="L89" s="13">
        <f>Inputs!$B$7+IF(AND(YEAR(A89)=YEAR(Inputs!$B$9),MONTH(A89)=MONTH(Inputs!$B$9)),Inputs!$B$8,0)</f>
        <v/>
      </c>
      <c r="M89" s="13">
        <f>O88*G89/12</f>
        <v/>
      </c>
      <c r="N89" s="13">
        <f>MIN(H89+L89,O88+M89)</f>
        <v/>
      </c>
      <c r="O89" s="13">
        <f>MAX(0,O88+M89-N89)</f>
        <v/>
      </c>
    </row>
    <row r="90">
      <c r="A90" s="11" t="n">
        <v>48792</v>
      </c>
      <c r="B90" s="15">
        <f>IF(MONTH(A90)=4,B89*(1+Inputs!$B$6),B89)</f>
        <v/>
      </c>
      <c r="C90" s="15">
        <f>IF(AND(MONTH(A90)=4,YEAR(A90)&gt;=Inputs!$B$20),C89*(1+Inputs!$B$21),C89)</f>
        <v/>
      </c>
      <c r="D90" s="15">
        <f>IF(AND(MONTH(A90)=4,YEAR(A90)&gt;=Inputs!$B$20),D89*(1+Inputs!$B$21),D89)</f>
        <v/>
      </c>
      <c r="E90" s="12">
        <f>VLOOKUP(A90,Inputs!$A$53:$C$55,2,TRUE)</f>
        <v/>
      </c>
      <c r="F90" s="12">
        <f>VLOOKUP(A90,Inputs!$A$53:$C$55,3,TRUE)</f>
        <v/>
      </c>
      <c r="G90" s="12">
        <f>MIN(F90,E90+0.03*MAX(0,MIN(1,(B90-C90)/(D90-C90))))</f>
        <v/>
      </c>
      <c r="H90" s="13">
        <f>MAX(0,0.09*(B90-C90)/12)</f>
        <v/>
      </c>
      <c r="I90" s="13">
        <f>K89*G90/12</f>
        <v/>
      </c>
      <c r="J90" s="13">
        <f>MIN(H90,K89+I90)</f>
        <v/>
      </c>
      <c r="K90" s="13">
        <f>MAX(0,K89+I90-J90)</f>
        <v/>
      </c>
      <c r="L90" s="13">
        <f>Inputs!$B$7+IF(AND(YEAR(A90)=YEAR(Inputs!$B$9),MONTH(A90)=MONTH(Inputs!$B$9)),Inputs!$B$8,0)</f>
        <v/>
      </c>
      <c r="M90" s="13">
        <f>O89*G90/12</f>
        <v/>
      </c>
      <c r="N90" s="13">
        <f>MIN(H90+L90,O89+M90)</f>
        <v/>
      </c>
      <c r="O90" s="13">
        <f>MAX(0,O89+M90-N90)</f>
        <v/>
      </c>
    </row>
    <row r="91">
      <c r="A91" s="11" t="n">
        <v>48823</v>
      </c>
      <c r="B91" s="15">
        <f>IF(MONTH(A91)=4,B90*(1+Inputs!$B$6),B90)</f>
        <v/>
      </c>
      <c r="C91" s="15">
        <f>IF(AND(MONTH(A91)=4,YEAR(A91)&gt;=Inputs!$B$20),C90*(1+Inputs!$B$21),C90)</f>
        <v/>
      </c>
      <c r="D91" s="15">
        <f>IF(AND(MONTH(A91)=4,YEAR(A91)&gt;=Inputs!$B$20),D90*(1+Inputs!$B$21),D90)</f>
        <v/>
      </c>
      <c r="E91" s="12">
        <f>VLOOKUP(A91,Inputs!$A$53:$C$55,2,TRUE)</f>
        <v/>
      </c>
      <c r="F91" s="12">
        <f>VLOOKUP(A91,Inputs!$A$53:$C$55,3,TRUE)</f>
        <v/>
      </c>
      <c r="G91" s="12">
        <f>MIN(F91,E91+0.03*MAX(0,MIN(1,(B91-C91)/(D91-C91))))</f>
        <v/>
      </c>
      <c r="H91" s="13">
        <f>MAX(0,0.09*(B91-C91)/12)</f>
        <v/>
      </c>
      <c r="I91" s="13">
        <f>K90*G91/12</f>
        <v/>
      </c>
      <c r="J91" s="13">
        <f>MIN(H91,K90+I91)</f>
        <v/>
      </c>
      <c r="K91" s="13">
        <f>MAX(0,K90+I91-J91)</f>
        <v/>
      </c>
      <c r="L91" s="13">
        <f>Inputs!$B$7+IF(AND(YEAR(A91)=YEAR(Inputs!$B$9),MONTH(A91)=MONTH(Inputs!$B$9)),Inputs!$B$8,0)</f>
        <v/>
      </c>
      <c r="M91" s="13">
        <f>O90*G91/12</f>
        <v/>
      </c>
      <c r="N91" s="13">
        <f>MIN(H91+L91,O90+M91)</f>
        <v/>
      </c>
      <c r="O91" s="13">
        <f>MAX(0,O90+M91-N91)</f>
        <v/>
      </c>
    </row>
    <row r="92">
      <c r="A92" s="11" t="n">
        <v>48853</v>
      </c>
      <c r="B92" s="15">
        <f>IF(MONTH(A92)=4,B91*(1+Inputs!$B$6),B91)</f>
        <v/>
      </c>
      <c r="C92" s="15">
        <f>IF(AND(MONTH(A92)=4,YEAR(A92)&gt;=Inputs!$B$20),C91*(1+Inputs!$B$21),C91)</f>
        <v/>
      </c>
      <c r="D92" s="15">
        <f>IF(AND(MONTH(A92)=4,YEAR(A92)&gt;=Inputs!$B$20),D91*(1+Inputs!$B$21),D91)</f>
        <v/>
      </c>
      <c r="E92" s="12">
        <f>VLOOKUP(A92,Inputs!$A$53:$C$55,2,TRUE)</f>
        <v/>
      </c>
      <c r="F92" s="12">
        <f>VLOOKUP(A92,Inputs!$A$53:$C$55,3,TRUE)</f>
        <v/>
      </c>
      <c r="G92" s="12">
        <f>MIN(F92,E92+0.03*MAX(0,MIN(1,(B92-C92)/(D92-C92))))</f>
        <v/>
      </c>
      <c r="H92" s="13">
        <f>MAX(0,0.09*(B92-C92)/12)</f>
        <v/>
      </c>
      <c r="I92" s="13">
        <f>K91*G92/12</f>
        <v/>
      </c>
      <c r="J92" s="13">
        <f>MIN(H92,K91+I92)</f>
        <v/>
      </c>
      <c r="K92" s="13">
        <f>MAX(0,K91+I92-J92)</f>
        <v/>
      </c>
      <c r="L92" s="13">
        <f>Inputs!$B$7+IF(AND(YEAR(A92)=YEAR(Inputs!$B$9),MONTH(A92)=MONTH(Inputs!$B$9)),Inputs!$B$8,0)</f>
        <v/>
      </c>
      <c r="M92" s="13">
        <f>O91*G92/12</f>
        <v/>
      </c>
      <c r="N92" s="13">
        <f>MIN(H92+L92,O91+M92)</f>
        <v/>
      </c>
      <c r="O92" s="13">
        <f>MAX(0,O91+M92-N92)</f>
        <v/>
      </c>
    </row>
    <row r="93">
      <c r="A93" s="11" t="n">
        <v>48884</v>
      </c>
      <c r="B93" s="15">
        <f>IF(MONTH(A93)=4,B92*(1+Inputs!$B$6),B92)</f>
        <v/>
      </c>
      <c r="C93" s="15">
        <f>IF(AND(MONTH(A93)=4,YEAR(A93)&gt;=Inputs!$B$20),C92*(1+Inputs!$B$21),C92)</f>
        <v/>
      </c>
      <c r="D93" s="15">
        <f>IF(AND(MONTH(A93)=4,YEAR(A93)&gt;=Inputs!$B$20),D92*(1+Inputs!$B$21),D92)</f>
        <v/>
      </c>
      <c r="E93" s="12">
        <f>VLOOKUP(A93,Inputs!$A$53:$C$55,2,TRUE)</f>
        <v/>
      </c>
      <c r="F93" s="12">
        <f>VLOOKUP(A93,Inputs!$A$53:$C$55,3,TRUE)</f>
        <v/>
      </c>
      <c r="G93" s="12">
        <f>MIN(F93,E93+0.03*MAX(0,MIN(1,(B93-C93)/(D93-C93))))</f>
        <v/>
      </c>
      <c r="H93" s="13">
        <f>MAX(0,0.09*(B93-C93)/12)</f>
        <v/>
      </c>
      <c r="I93" s="13">
        <f>K92*G93/12</f>
        <v/>
      </c>
      <c r="J93" s="13">
        <f>MIN(H93,K92+I93)</f>
        <v/>
      </c>
      <c r="K93" s="13">
        <f>MAX(0,K92+I93-J93)</f>
        <v/>
      </c>
      <c r="L93" s="13">
        <f>Inputs!$B$7+IF(AND(YEAR(A93)=YEAR(Inputs!$B$9),MONTH(A93)=MONTH(Inputs!$B$9)),Inputs!$B$8,0)</f>
        <v/>
      </c>
      <c r="M93" s="13">
        <f>O92*G93/12</f>
        <v/>
      </c>
      <c r="N93" s="13">
        <f>MIN(H93+L93,O92+M93)</f>
        <v/>
      </c>
      <c r="O93" s="13">
        <f>MAX(0,O92+M93-N93)</f>
        <v/>
      </c>
    </row>
    <row r="94">
      <c r="A94" s="11" t="n">
        <v>48914</v>
      </c>
      <c r="B94" s="15">
        <f>IF(MONTH(A94)=4,B93*(1+Inputs!$B$6),B93)</f>
        <v/>
      </c>
      <c r="C94" s="15">
        <f>IF(AND(MONTH(A94)=4,YEAR(A94)&gt;=Inputs!$B$20),C93*(1+Inputs!$B$21),C93)</f>
        <v/>
      </c>
      <c r="D94" s="15">
        <f>IF(AND(MONTH(A94)=4,YEAR(A94)&gt;=Inputs!$B$20),D93*(1+Inputs!$B$21),D93)</f>
        <v/>
      </c>
      <c r="E94" s="12">
        <f>VLOOKUP(A94,Inputs!$A$53:$C$55,2,TRUE)</f>
        <v/>
      </c>
      <c r="F94" s="12">
        <f>VLOOKUP(A94,Inputs!$A$53:$C$55,3,TRUE)</f>
        <v/>
      </c>
      <c r="G94" s="12">
        <f>MIN(F94,E94+0.03*MAX(0,MIN(1,(B94-C94)/(D94-C94))))</f>
        <v/>
      </c>
      <c r="H94" s="13">
        <f>MAX(0,0.09*(B94-C94)/12)</f>
        <v/>
      </c>
      <c r="I94" s="13">
        <f>K93*G94/12</f>
        <v/>
      </c>
      <c r="J94" s="13">
        <f>MIN(H94,K93+I94)</f>
        <v/>
      </c>
      <c r="K94" s="13">
        <f>MAX(0,K93+I94-J94)</f>
        <v/>
      </c>
      <c r="L94" s="13">
        <f>Inputs!$B$7+IF(AND(YEAR(A94)=YEAR(Inputs!$B$9),MONTH(A94)=MONTH(Inputs!$B$9)),Inputs!$B$8,0)</f>
        <v/>
      </c>
      <c r="M94" s="13">
        <f>O93*G94/12</f>
        <v/>
      </c>
      <c r="N94" s="13">
        <f>MIN(H94+L94,O93+M94)</f>
        <v/>
      </c>
      <c r="O94" s="13">
        <f>MAX(0,O93+M94-N94)</f>
        <v/>
      </c>
    </row>
    <row r="95">
      <c r="A95" s="11" t="n">
        <v>48945</v>
      </c>
      <c r="B95" s="15">
        <f>IF(MONTH(A95)=4,B94*(1+Inputs!$B$6),B94)</f>
        <v/>
      </c>
      <c r="C95" s="15">
        <f>IF(AND(MONTH(A95)=4,YEAR(A95)&gt;=Inputs!$B$20),C94*(1+Inputs!$B$21),C94)</f>
        <v/>
      </c>
      <c r="D95" s="15">
        <f>IF(AND(MONTH(A95)=4,YEAR(A95)&gt;=Inputs!$B$20),D94*(1+Inputs!$B$21),D94)</f>
        <v/>
      </c>
      <c r="E95" s="12">
        <f>VLOOKUP(A95,Inputs!$A$53:$C$55,2,TRUE)</f>
        <v/>
      </c>
      <c r="F95" s="12">
        <f>VLOOKUP(A95,Inputs!$A$53:$C$55,3,TRUE)</f>
        <v/>
      </c>
      <c r="G95" s="12">
        <f>MIN(F95,E95+0.03*MAX(0,MIN(1,(B95-C95)/(D95-C95))))</f>
        <v/>
      </c>
      <c r="H95" s="13">
        <f>MAX(0,0.09*(B95-C95)/12)</f>
        <v/>
      </c>
      <c r="I95" s="13">
        <f>K94*G95/12</f>
        <v/>
      </c>
      <c r="J95" s="13">
        <f>MIN(H95,K94+I95)</f>
        <v/>
      </c>
      <c r="K95" s="13">
        <f>MAX(0,K94+I95-J95)</f>
        <v/>
      </c>
      <c r="L95" s="13">
        <f>Inputs!$B$7+IF(AND(YEAR(A95)=YEAR(Inputs!$B$9),MONTH(A95)=MONTH(Inputs!$B$9)),Inputs!$B$8,0)</f>
        <v/>
      </c>
      <c r="M95" s="13">
        <f>O94*G95/12</f>
        <v/>
      </c>
      <c r="N95" s="13">
        <f>MIN(H95+L95,O94+M95)</f>
        <v/>
      </c>
      <c r="O95" s="13">
        <f>MAX(0,O94+M95-N95)</f>
        <v/>
      </c>
    </row>
    <row r="96">
      <c r="A96" s="11" t="n">
        <v>48976</v>
      </c>
      <c r="B96" s="15">
        <f>IF(MONTH(A96)=4,B95*(1+Inputs!$B$6),B95)</f>
        <v/>
      </c>
      <c r="C96" s="15">
        <f>IF(AND(MONTH(A96)=4,YEAR(A96)&gt;=Inputs!$B$20),C95*(1+Inputs!$B$21),C95)</f>
        <v/>
      </c>
      <c r="D96" s="15">
        <f>IF(AND(MONTH(A96)=4,YEAR(A96)&gt;=Inputs!$B$20),D95*(1+Inputs!$B$21),D95)</f>
        <v/>
      </c>
      <c r="E96" s="12">
        <f>VLOOKUP(A96,Inputs!$A$53:$C$55,2,TRUE)</f>
        <v/>
      </c>
      <c r="F96" s="12">
        <f>VLOOKUP(A96,Inputs!$A$53:$C$55,3,TRUE)</f>
        <v/>
      </c>
      <c r="G96" s="12">
        <f>MIN(F96,E96+0.03*MAX(0,MIN(1,(B96-C96)/(D96-C96))))</f>
        <v/>
      </c>
      <c r="H96" s="13">
        <f>MAX(0,0.09*(B96-C96)/12)</f>
        <v/>
      </c>
      <c r="I96" s="13">
        <f>K95*G96/12</f>
        <v/>
      </c>
      <c r="J96" s="13">
        <f>MIN(H96,K95+I96)</f>
        <v/>
      </c>
      <c r="K96" s="13">
        <f>MAX(0,K95+I96-J96)</f>
        <v/>
      </c>
      <c r="L96" s="13">
        <f>Inputs!$B$7+IF(AND(YEAR(A96)=YEAR(Inputs!$B$9),MONTH(A96)=MONTH(Inputs!$B$9)),Inputs!$B$8,0)</f>
        <v/>
      </c>
      <c r="M96" s="13">
        <f>O95*G96/12</f>
        <v/>
      </c>
      <c r="N96" s="13">
        <f>MIN(H96+L96,O95+M96)</f>
        <v/>
      </c>
      <c r="O96" s="13">
        <f>MAX(0,O95+M96-N96)</f>
        <v/>
      </c>
    </row>
    <row r="97">
      <c r="A97" s="11" t="n">
        <v>49004</v>
      </c>
      <c r="B97" s="15">
        <f>IF(MONTH(A97)=4,B96*(1+Inputs!$B$6),B96)</f>
        <v/>
      </c>
      <c r="C97" s="15">
        <f>IF(AND(MONTH(A97)=4,YEAR(A97)&gt;=Inputs!$B$20),C96*(1+Inputs!$B$21),C96)</f>
        <v/>
      </c>
      <c r="D97" s="15">
        <f>IF(AND(MONTH(A97)=4,YEAR(A97)&gt;=Inputs!$B$20),D96*(1+Inputs!$B$21),D96)</f>
        <v/>
      </c>
      <c r="E97" s="12">
        <f>VLOOKUP(A97,Inputs!$A$53:$C$55,2,TRUE)</f>
        <v/>
      </c>
      <c r="F97" s="12">
        <f>VLOOKUP(A97,Inputs!$A$53:$C$55,3,TRUE)</f>
        <v/>
      </c>
      <c r="G97" s="12">
        <f>MIN(F97,E97+0.03*MAX(0,MIN(1,(B97-C97)/(D97-C97))))</f>
        <v/>
      </c>
      <c r="H97" s="13">
        <f>MAX(0,0.09*(B97-C97)/12)</f>
        <v/>
      </c>
      <c r="I97" s="13">
        <f>K96*G97/12</f>
        <v/>
      </c>
      <c r="J97" s="13">
        <f>MIN(H97,K96+I97)</f>
        <v/>
      </c>
      <c r="K97" s="13">
        <f>MAX(0,K96+I97-J97)</f>
        <v/>
      </c>
      <c r="L97" s="13">
        <f>Inputs!$B$7+IF(AND(YEAR(A97)=YEAR(Inputs!$B$9),MONTH(A97)=MONTH(Inputs!$B$9)),Inputs!$B$8,0)</f>
        <v/>
      </c>
      <c r="M97" s="13">
        <f>O96*G97/12</f>
        <v/>
      </c>
      <c r="N97" s="13">
        <f>MIN(H97+L97,O96+M97)</f>
        <v/>
      </c>
      <c r="O97" s="13">
        <f>MAX(0,O96+M97-N97)</f>
        <v/>
      </c>
    </row>
    <row r="98">
      <c r="A98" s="11" t="n">
        <v>49035</v>
      </c>
      <c r="B98" s="15">
        <f>IF(MONTH(A98)=4,B97*(1+Inputs!$B$6),B97)</f>
        <v/>
      </c>
      <c r="C98" s="15">
        <f>IF(AND(MONTH(A98)=4,YEAR(A98)&gt;=Inputs!$B$20),C97*(1+Inputs!$B$21),C97)</f>
        <v/>
      </c>
      <c r="D98" s="15">
        <f>IF(AND(MONTH(A98)=4,YEAR(A98)&gt;=Inputs!$B$20),D97*(1+Inputs!$B$21),D97)</f>
        <v/>
      </c>
      <c r="E98" s="12">
        <f>VLOOKUP(A98,Inputs!$A$53:$C$55,2,TRUE)</f>
        <v/>
      </c>
      <c r="F98" s="12">
        <f>VLOOKUP(A98,Inputs!$A$53:$C$55,3,TRUE)</f>
        <v/>
      </c>
      <c r="G98" s="12">
        <f>MIN(F98,E98+0.03*MAX(0,MIN(1,(B98-C98)/(D98-C98))))</f>
        <v/>
      </c>
      <c r="H98" s="13">
        <f>MAX(0,0.09*(B98-C98)/12)</f>
        <v/>
      </c>
      <c r="I98" s="13">
        <f>K97*G98/12</f>
        <v/>
      </c>
      <c r="J98" s="13">
        <f>MIN(H98,K97+I98)</f>
        <v/>
      </c>
      <c r="K98" s="13">
        <f>MAX(0,K97+I98-J98)</f>
        <v/>
      </c>
      <c r="L98" s="13">
        <f>Inputs!$B$7+IF(AND(YEAR(A98)=YEAR(Inputs!$B$9),MONTH(A98)=MONTH(Inputs!$B$9)),Inputs!$B$8,0)</f>
        <v/>
      </c>
      <c r="M98" s="13">
        <f>O97*G98/12</f>
        <v/>
      </c>
      <c r="N98" s="13">
        <f>MIN(H98+L98,O97+M98)</f>
        <v/>
      </c>
      <c r="O98" s="13">
        <f>MAX(0,O97+M98-N98)</f>
        <v/>
      </c>
    </row>
    <row r="99">
      <c r="A99" s="11" t="n">
        <v>49065</v>
      </c>
      <c r="B99" s="15">
        <f>IF(MONTH(A99)=4,B98*(1+Inputs!$B$6),B98)</f>
        <v/>
      </c>
      <c r="C99" s="15">
        <f>IF(AND(MONTH(A99)=4,YEAR(A99)&gt;=Inputs!$B$20),C98*(1+Inputs!$B$21),C98)</f>
        <v/>
      </c>
      <c r="D99" s="15">
        <f>IF(AND(MONTH(A99)=4,YEAR(A99)&gt;=Inputs!$B$20),D98*(1+Inputs!$B$21),D98)</f>
        <v/>
      </c>
      <c r="E99" s="12">
        <f>VLOOKUP(A99,Inputs!$A$53:$C$55,2,TRUE)</f>
        <v/>
      </c>
      <c r="F99" s="12">
        <f>VLOOKUP(A99,Inputs!$A$53:$C$55,3,TRUE)</f>
        <v/>
      </c>
      <c r="G99" s="12">
        <f>MIN(F99,E99+0.03*MAX(0,MIN(1,(B99-C99)/(D99-C99))))</f>
        <v/>
      </c>
      <c r="H99" s="13">
        <f>MAX(0,0.09*(B99-C99)/12)</f>
        <v/>
      </c>
      <c r="I99" s="13">
        <f>K98*G99/12</f>
        <v/>
      </c>
      <c r="J99" s="13">
        <f>MIN(H99,K98+I99)</f>
        <v/>
      </c>
      <c r="K99" s="13">
        <f>MAX(0,K98+I99-J99)</f>
        <v/>
      </c>
      <c r="L99" s="13">
        <f>Inputs!$B$7+IF(AND(YEAR(A99)=YEAR(Inputs!$B$9),MONTH(A99)=MONTH(Inputs!$B$9)),Inputs!$B$8,0)</f>
        <v/>
      </c>
      <c r="M99" s="13">
        <f>O98*G99/12</f>
        <v/>
      </c>
      <c r="N99" s="13">
        <f>MIN(H99+L99,O98+M99)</f>
        <v/>
      </c>
      <c r="O99" s="13">
        <f>MAX(0,O98+M99-N99)</f>
        <v/>
      </c>
    </row>
    <row r="100">
      <c r="A100" s="11" t="n">
        <v>49096</v>
      </c>
      <c r="B100" s="15">
        <f>IF(MONTH(A100)=4,B99*(1+Inputs!$B$6),B99)</f>
        <v/>
      </c>
      <c r="C100" s="15">
        <f>IF(AND(MONTH(A100)=4,YEAR(A100)&gt;=Inputs!$B$20),C99*(1+Inputs!$B$21),C99)</f>
        <v/>
      </c>
      <c r="D100" s="15">
        <f>IF(AND(MONTH(A100)=4,YEAR(A100)&gt;=Inputs!$B$20),D99*(1+Inputs!$B$21),D99)</f>
        <v/>
      </c>
      <c r="E100" s="12">
        <f>VLOOKUP(A100,Inputs!$A$53:$C$55,2,TRUE)</f>
        <v/>
      </c>
      <c r="F100" s="12">
        <f>VLOOKUP(A100,Inputs!$A$53:$C$55,3,TRUE)</f>
        <v/>
      </c>
      <c r="G100" s="12">
        <f>MIN(F100,E100+0.03*MAX(0,MIN(1,(B100-C100)/(D100-C100))))</f>
        <v/>
      </c>
      <c r="H100" s="13">
        <f>MAX(0,0.09*(B100-C100)/12)</f>
        <v/>
      </c>
      <c r="I100" s="13">
        <f>K99*G100/12</f>
        <v/>
      </c>
      <c r="J100" s="13">
        <f>MIN(H100,K99+I100)</f>
        <v/>
      </c>
      <c r="K100" s="13">
        <f>MAX(0,K99+I100-J100)</f>
        <v/>
      </c>
      <c r="L100" s="13">
        <f>Inputs!$B$7+IF(AND(YEAR(A100)=YEAR(Inputs!$B$9),MONTH(A100)=MONTH(Inputs!$B$9)),Inputs!$B$8,0)</f>
        <v/>
      </c>
      <c r="M100" s="13">
        <f>O99*G100/12</f>
        <v/>
      </c>
      <c r="N100" s="13">
        <f>MIN(H100+L100,O99+M100)</f>
        <v/>
      </c>
      <c r="O100" s="13">
        <f>MAX(0,O99+M100-N100)</f>
        <v/>
      </c>
    </row>
    <row r="101">
      <c r="A101" s="11" t="n">
        <v>49126</v>
      </c>
      <c r="B101" s="15">
        <f>IF(MONTH(A101)=4,B100*(1+Inputs!$B$6),B100)</f>
        <v/>
      </c>
      <c r="C101" s="15">
        <f>IF(AND(MONTH(A101)=4,YEAR(A101)&gt;=Inputs!$B$20),C100*(1+Inputs!$B$21),C100)</f>
        <v/>
      </c>
      <c r="D101" s="15">
        <f>IF(AND(MONTH(A101)=4,YEAR(A101)&gt;=Inputs!$B$20),D100*(1+Inputs!$B$21),D100)</f>
        <v/>
      </c>
      <c r="E101" s="12">
        <f>VLOOKUP(A101,Inputs!$A$53:$C$55,2,TRUE)</f>
        <v/>
      </c>
      <c r="F101" s="12">
        <f>VLOOKUP(A101,Inputs!$A$53:$C$55,3,TRUE)</f>
        <v/>
      </c>
      <c r="G101" s="12">
        <f>MIN(F101,E101+0.03*MAX(0,MIN(1,(B101-C101)/(D101-C101))))</f>
        <v/>
      </c>
      <c r="H101" s="13">
        <f>MAX(0,0.09*(B101-C101)/12)</f>
        <v/>
      </c>
      <c r="I101" s="13">
        <f>K100*G101/12</f>
        <v/>
      </c>
      <c r="J101" s="13">
        <f>MIN(H101,K100+I101)</f>
        <v/>
      </c>
      <c r="K101" s="13">
        <f>MAX(0,K100+I101-J101)</f>
        <v/>
      </c>
      <c r="L101" s="13">
        <f>Inputs!$B$7+IF(AND(YEAR(A101)=YEAR(Inputs!$B$9),MONTH(A101)=MONTH(Inputs!$B$9)),Inputs!$B$8,0)</f>
        <v/>
      </c>
      <c r="M101" s="13">
        <f>O100*G101/12</f>
        <v/>
      </c>
      <c r="N101" s="13">
        <f>MIN(H101+L101,O100+M101)</f>
        <v/>
      </c>
      <c r="O101" s="13">
        <f>MAX(0,O100+M101-N101)</f>
        <v/>
      </c>
    </row>
    <row r="102">
      <c r="A102" s="11" t="n">
        <v>49157</v>
      </c>
      <c r="B102" s="15">
        <f>IF(MONTH(A102)=4,B101*(1+Inputs!$B$6),B101)</f>
        <v/>
      </c>
      <c r="C102" s="15">
        <f>IF(AND(MONTH(A102)=4,YEAR(A102)&gt;=Inputs!$B$20),C101*(1+Inputs!$B$21),C101)</f>
        <v/>
      </c>
      <c r="D102" s="15">
        <f>IF(AND(MONTH(A102)=4,YEAR(A102)&gt;=Inputs!$B$20),D101*(1+Inputs!$B$21),D101)</f>
        <v/>
      </c>
      <c r="E102" s="12">
        <f>VLOOKUP(A102,Inputs!$A$53:$C$55,2,TRUE)</f>
        <v/>
      </c>
      <c r="F102" s="12">
        <f>VLOOKUP(A102,Inputs!$A$53:$C$55,3,TRUE)</f>
        <v/>
      </c>
      <c r="G102" s="12">
        <f>MIN(F102,E102+0.03*MAX(0,MIN(1,(B102-C102)/(D102-C102))))</f>
        <v/>
      </c>
      <c r="H102" s="13">
        <f>MAX(0,0.09*(B102-C102)/12)</f>
        <v/>
      </c>
      <c r="I102" s="13">
        <f>K101*G102/12</f>
        <v/>
      </c>
      <c r="J102" s="13">
        <f>MIN(H102,K101+I102)</f>
        <v/>
      </c>
      <c r="K102" s="13">
        <f>MAX(0,K101+I102-J102)</f>
        <v/>
      </c>
      <c r="L102" s="13">
        <f>Inputs!$B$7+IF(AND(YEAR(A102)=YEAR(Inputs!$B$9),MONTH(A102)=MONTH(Inputs!$B$9)),Inputs!$B$8,0)</f>
        <v/>
      </c>
      <c r="M102" s="13">
        <f>O101*G102/12</f>
        <v/>
      </c>
      <c r="N102" s="13">
        <f>MIN(H102+L102,O101+M102)</f>
        <v/>
      </c>
      <c r="O102" s="13">
        <f>MAX(0,O101+M102-N102)</f>
        <v/>
      </c>
    </row>
    <row r="103">
      <c r="A103" s="11" t="n">
        <v>49188</v>
      </c>
      <c r="B103" s="15">
        <f>IF(MONTH(A103)=4,B102*(1+Inputs!$B$6),B102)</f>
        <v/>
      </c>
      <c r="C103" s="15">
        <f>IF(AND(MONTH(A103)=4,YEAR(A103)&gt;=Inputs!$B$20),C102*(1+Inputs!$B$21),C102)</f>
        <v/>
      </c>
      <c r="D103" s="15">
        <f>IF(AND(MONTH(A103)=4,YEAR(A103)&gt;=Inputs!$B$20),D102*(1+Inputs!$B$21),D102)</f>
        <v/>
      </c>
      <c r="E103" s="12">
        <f>VLOOKUP(A103,Inputs!$A$53:$C$55,2,TRUE)</f>
        <v/>
      </c>
      <c r="F103" s="12">
        <f>VLOOKUP(A103,Inputs!$A$53:$C$55,3,TRUE)</f>
        <v/>
      </c>
      <c r="G103" s="12">
        <f>MIN(F103,E103+0.03*MAX(0,MIN(1,(B103-C103)/(D103-C103))))</f>
        <v/>
      </c>
      <c r="H103" s="13">
        <f>MAX(0,0.09*(B103-C103)/12)</f>
        <v/>
      </c>
      <c r="I103" s="13">
        <f>K102*G103/12</f>
        <v/>
      </c>
      <c r="J103" s="13">
        <f>MIN(H103,K102+I103)</f>
        <v/>
      </c>
      <c r="K103" s="13">
        <f>MAX(0,K102+I103-J103)</f>
        <v/>
      </c>
      <c r="L103" s="13">
        <f>Inputs!$B$7+IF(AND(YEAR(A103)=YEAR(Inputs!$B$9),MONTH(A103)=MONTH(Inputs!$B$9)),Inputs!$B$8,0)</f>
        <v/>
      </c>
      <c r="M103" s="13">
        <f>O102*G103/12</f>
        <v/>
      </c>
      <c r="N103" s="13">
        <f>MIN(H103+L103,O102+M103)</f>
        <v/>
      </c>
      <c r="O103" s="13">
        <f>MAX(0,O102+M103-N103)</f>
        <v/>
      </c>
    </row>
    <row r="104">
      <c r="A104" s="11" t="n">
        <v>49218</v>
      </c>
      <c r="B104" s="15">
        <f>IF(MONTH(A104)=4,B103*(1+Inputs!$B$6),B103)</f>
        <v/>
      </c>
      <c r="C104" s="15">
        <f>IF(AND(MONTH(A104)=4,YEAR(A104)&gt;=Inputs!$B$20),C103*(1+Inputs!$B$21),C103)</f>
        <v/>
      </c>
      <c r="D104" s="15">
        <f>IF(AND(MONTH(A104)=4,YEAR(A104)&gt;=Inputs!$B$20),D103*(1+Inputs!$B$21),D103)</f>
        <v/>
      </c>
      <c r="E104" s="12">
        <f>VLOOKUP(A104,Inputs!$A$53:$C$55,2,TRUE)</f>
        <v/>
      </c>
      <c r="F104" s="12">
        <f>VLOOKUP(A104,Inputs!$A$53:$C$55,3,TRUE)</f>
        <v/>
      </c>
      <c r="G104" s="12">
        <f>MIN(F104,E104+0.03*MAX(0,MIN(1,(B104-C104)/(D104-C104))))</f>
        <v/>
      </c>
      <c r="H104" s="13">
        <f>MAX(0,0.09*(B104-C104)/12)</f>
        <v/>
      </c>
      <c r="I104" s="13">
        <f>K103*G104/12</f>
        <v/>
      </c>
      <c r="J104" s="13">
        <f>MIN(H104,K103+I104)</f>
        <v/>
      </c>
      <c r="K104" s="13">
        <f>MAX(0,K103+I104-J104)</f>
        <v/>
      </c>
      <c r="L104" s="13">
        <f>Inputs!$B$7+IF(AND(YEAR(A104)=YEAR(Inputs!$B$9),MONTH(A104)=MONTH(Inputs!$B$9)),Inputs!$B$8,0)</f>
        <v/>
      </c>
      <c r="M104" s="13">
        <f>O103*G104/12</f>
        <v/>
      </c>
      <c r="N104" s="13">
        <f>MIN(H104+L104,O103+M104)</f>
        <v/>
      </c>
      <c r="O104" s="13">
        <f>MAX(0,O103+M104-N104)</f>
        <v/>
      </c>
    </row>
    <row r="105">
      <c r="A105" s="11" t="n">
        <v>49249</v>
      </c>
      <c r="B105" s="15">
        <f>IF(MONTH(A105)=4,B104*(1+Inputs!$B$6),B104)</f>
        <v/>
      </c>
      <c r="C105" s="15">
        <f>IF(AND(MONTH(A105)=4,YEAR(A105)&gt;=Inputs!$B$20),C104*(1+Inputs!$B$21),C104)</f>
        <v/>
      </c>
      <c r="D105" s="15">
        <f>IF(AND(MONTH(A105)=4,YEAR(A105)&gt;=Inputs!$B$20),D104*(1+Inputs!$B$21),D104)</f>
        <v/>
      </c>
      <c r="E105" s="12">
        <f>VLOOKUP(A105,Inputs!$A$53:$C$55,2,TRUE)</f>
        <v/>
      </c>
      <c r="F105" s="12">
        <f>VLOOKUP(A105,Inputs!$A$53:$C$55,3,TRUE)</f>
        <v/>
      </c>
      <c r="G105" s="12">
        <f>MIN(F105,E105+0.03*MAX(0,MIN(1,(B105-C105)/(D105-C105))))</f>
        <v/>
      </c>
      <c r="H105" s="13">
        <f>MAX(0,0.09*(B105-C105)/12)</f>
        <v/>
      </c>
      <c r="I105" s="13">
        <f>K104*G105/12</f>
        <v/>
      </c>
      <c r="J105" s="13">
        <f>MIN(H105,K104+I105)</f>
        <v/>
      </c>
      <c r="K105" s="13">
        <f>MAX(0,K104+I105-J105)</f>
        <v/>
      </c>
      <c r="L105" s="13">
        <f>Inputs!$B$7+IF(AND(YEAR(A105)=YEAR(Inputs!$B$9),MONTH(A105)=MONTH(Inputs!$B$9)),Inputs!$B$8,0)</f>
        <v/>
      </c>
      <c r="M105" s="13">
        <f>O104*G105/12</f>
        <v/>
      </c>
      <c r="N105" s="13">
        <f>MIN(H105+L105,O104+M105)</f>
        <v/>
      </c>
      <c r="O105" s="13">
        <f>MAX(0,O104+M105-N105)</f>
        <v/>
      </c>
    </row>
    <row r="106">
      <c r="A106" s="11" t="n">
        <v>49279</v>
      </c>
      <c r="B106" s="15">
        <f>IF(MONTH(A106)=4,B105*(1+Inputs!$B$6),B105)</f>
        <v/>
      </c>
      <c r="C106" s="15">
        <f>IF(AND(MONTH(A106)=4,YEAR(A106)&gt;=Inputs!$B$20),C105*(1+Inputs!$B$21),C105)</f>
        <v/>
      </c>
      <c r="D106" s="15">
        <f>IF(AND(MONTH(A106)=4,YEAR(A106)&gt;=Inputs!$B$20),D105*(1+Inputs!$B$21),D105)</f>
        <v/>
      </c>
      <c r="E106" s="12">
        <f>VLOOKUP(A106,Inputs!$A$53:$C$55,2,TRUE)</f>
        <v/>
      </c>
      <c r="F106" s="12">
        <f>VLOOKUP(A106,Inputs!$A$53:$C$55,3,TRUE)</f>
        <v/>
      </c>
      <c r="G106" s="12">
        <f>MIN(F106,E106+0.03*MAX(0,MIN(1,(B106-C106)/(D106-C106))))</f>
        <v/>
      </c>
      <c r="H106" s="13">
        <f>MAX(0,0.09*(B106-C106)/12)</f>
        <v/>
      </c>
      <c r="I106" s="13">
        <f>K105*G106/12</f>
        <v/>
      </c>
      <c r="J106" s="13">
        <f>MIN(H106,K105+I106)</f>
        <v/>
      </c>
      <c r="K106" s="13">
        <f>MAX(0,K105+I106-J106)</f>
        <v/>
      </c>
      <c r="L106" s="13">
        <f>Inputs!$B$7+IF(AND(YEAR(A106)=YEAR(Inputs!$B$9),MONTH(A106)=MONTH(Inputs!$B$9)),Inputs!$B$8,0)</f>
        <v/>
      </c>
      <c r="M106" s="13">
        <f>O105*G106/12</f>
        <v/>
      </c>
      <c r="N106" s="13">
        <f>MIN(H106+L106,O105+M106)</f>
        <v/>
      </c>
      <c r="O106" s="13">
        <f>MAX(0,O105+M106-N106)</f>
        <v/>
      </c>
    </row>
    <row r="107">
      <c r="A107" s="11" t="n">
        <v>49310</v>
      </c>
      <c r="B107" s="15">
        <f>IF(MONTH(A107)=4,B106*(1+Inputs!$B$6),B106)</f>
        <v/>
      </c>
      <c r="C107" s="15">
        <f>IF(AND(MONTH(A107)=4,YEAR(A107)&gt;=Inputs!$B$20),C106*(1+Inputs!$B$21),C106)</f>
        <v/>
      </c>
      <c r="D107" s="15">
        <f>IF(AND(MONTH(A107)=4,YEAR(A107)&gt;=Inputs!$B$20),D106*(1+Inputs!$B$21),D106)</f>
        <v/>
      </c>
      <c r="E107" s="12">
        <f>VLOOKUP(A107,Inputs!$A$53:$C$55,2,TRUE)</f>
        <v/>
      </c>
      <c r="F107" s="12">
        <f>VLOOKUP(A107,Inputs!$A$53:$C$55,3,TRUE)</f>
        <v/>
      </c>
      <c r="G107" s="12">
        <f>MIN(F107,E107+0.03*MAX(0,MIN(1,(B107-C107)/(D107-C107))))</f>
        <v/>
      </c>
      <c r="H107" s="13">
        <f>MAX(0,0.09*(B107-C107)/12)</f>
        <v/>
      </c>
      <c r="I107" s="13">
        <f>K106*G107/12</f>
        <v/>
      </c>
      <c r="J107" s="13">
        <f>MIN(H107,K106+I107)</f>
        <v/>
      </c>
      <c r="K107" s="13">
        <f>MAX(0,K106+I107-J107)</f>
        <v/>
      </c>
      <c r="L107" s="13">
        <f>Inputs!$B$7+IF(AND(YEAR(A107)=YEAR(Inputs!$B$9),MONTH(A107)=MONTH(Inputs!$B$9)),Inputs!$B$8,0)</f>
        <v/>
      </c>
      <c r="M107" s="13">
        <f>O106*G107/12</f>
        <v/>
      </c>
      <c r="N107" s="13">
        <f>MIN(H107+L107,O106+M107)</f>
        <v/>
      </c>
      <c r="O107" s="13">
        <f>MAX(0,O106+M107-N107)</f>
        <v/>
      </c>
    </row>
    <row r="108">
      <c r="A108" s="11" t="n">
        <v>49341</v>
      </c>
      <c r="B108" s="15">
        <f>IF(MONTH(A108)=4,B107*(1+Inputs!$B$6),B107)</f>
        <v/>
      </c>
      <c r="C108" s="15">
        <f>IF(AND(MONTH(A108)=4,YEAR(A108)&gt;=Inputs!$B$20),C107*(1+Inputs!$B$21),C107)</f>
        <v/>
      </c>
      <c r="D108" s="15">
        <f>IF(AND(MONTH(A108)=4,YEAR(A108)&gt;=Inputs!$B$20),D107*(1+Inputs!$B$21),D107)</f>
        <v/>
      </c>
      <c r="E108" s="12">
        <f>VLOOKUP(A108,Inputs!$A$53:$C$55,2,TRUE)</f>
        <v/>
      </c>
      <c r="F108" s="12">
        <f>VLOOKUP(A108,Inputs!$A$53:$C$55,3,TRUE)</f>
        <v/>
      </c>
      <c r="G108" s="12">
        <f>MIN(F108,E108+0.03*MAX(0,MIN(1,(B108-C108)/(D108-C108))))</f>
        <v/>
      </c>
      <c r="H108" s="13">
        <f>MAX(0,0.09*(B108-C108)/12)</f>
        <v/>
      </c>
      <c r="I108" s="13">
        <f>K107*G108/12</f>
        <v/>
      </c>
      <c r="J108" s="13">
        <f>MIN(H108,K107+I108)</f>
        <v/>
      </c>
      <c r="K108" s="13">
        <f>MAX(0,K107+I108-J108)</f>
        <v/>
      </c>
      <c r="L108" s="13">
        <f>Inputs!$B$7+IF(AND(YEAR(A108)=YEAR(Inputs!$B$9),MONTH(A108)=MONTH(Inputs!$B$9)),Inputs!$B$8,0)</f>
        <v/>
      </c>
      <c r="M108" s="13">
        <f>O107*G108/12</f>
        <v/>
      </c>
      <c r="N108" s="13">
        <f>MIN(H108+L108,O107+M108)</f>
        <v/>
      </c>
      <c r="O108" s="13">
        <f>MAX(0,O107+M108-N108)</f>
        <v/>
      </c>
    </row>
    <row r="109">
      <c r="A109" s="11" t="n">
        <v>49369</v>
      </c>
      <c r="B109" s="15">
        <f>IF(MONTH(A109)=4,B108*(1+Inputs!$B$6),B108)</f>
        <v/>
      </c>
      <c r="C109" s="15">
        <f>IF(AND(MONTH(A109)=4,YEAR(A109)&gt;=Inputs!$B$20),C108*(1+Inputs!$B$21),C108)</f>
        <v/>
      </c>
      <c r="D109" s="15">
        <f>IF(AND(MONTH(A109)=4,YEAR(A109)&gt;=Inputs!$B$20),D108*(1+Inputs!$B$21),D108)</f>
        <v/>
      </c>
      <c r="E109" s="12">
        <f>VLOOKUP(A109,Inputs!$A$53:$C$55,2,TRUE)</f>
        <v/>
      </c>
      <c r="F109" s="12">
        <f>VLOOKUP(A109,Inputs!$A$53:$C$55,3,TRUE)</f>
        <v/>
      </c>
      <c r="G109" s="12">
        <f>MIN(F109,E109+0.03*MAX(0,MIN(1,(B109-C109)/(D109-C109))))</f>
        <v/>
      </c>
      <c r="H109" s="13">
        <f>MAX(0,0.09*(B109-C109)/12)</f>
        <v/>
      </c>
      <c r="I109" s="13">
        <f>K108*G109/12</f>
        <v/>
      </c>
      <c r="J109" s="13">
        <f>MIN(H109,K108+I109)</f>
        <v/>
      </c>
      <c r="K109" s="13">
        <f>MAX(0,K108+I109-J109)</f>
        <v/>
      </c>
      <c r="L109" s="13">
        <f>Inputs!$B$7+IF(AND(YEAR(A109)=YEAR(Inputs!$B$9),MONTH(A109)=MONTH(Inputs!$B$9)),Inputs!$B$8,0)</f>
        <v/>
      </c>
      <c r="M109" s="13">
        <f>O108*G109/12</f>
        <v/>
      </c>
      <c r="N109" s="13">
        <f>MIN(H109+L109,O108+M109)</f>
        <v/>
      </c>
      <c r="O109" s="13">
        <f>MAX(0,O108+M109-N109)</f>
        <v/>
      </c>
    </row>
    <row r="110">
      <c r="A110" s="11" t="n">
        <v>49400</v>
      </c>
      <c r="B110" s="15">
        <f>IF(MONTH(A110)=4,B109*(1+Inputs!$B$6),B109)</f>
        <v/>
      </c>
      <c r="C110" s="15">
        <f>IF(AND(MONTH(A110)=4,YEAR(A110)&gt;=Inputs!$B$20),C109*(1+Inputs!$B$21),C109)</f>
        <v/>
      </c>
      <c r="D110" s="15">
        <f>IF(AND(MONTH(A110)=4,YEAR(A110)&gt;=Inputs!$B$20),D109*(1+Inputs!$B$21),D109)</f>
        <v/>
      </c>
      <c r="E110" s="12">
        <f>VLOOKUP(A110,Inputs!$A$53:$C$55,2,TRUE)</f>
        <v/>
      </c>
      <c r="F110" s="12">
        <f>VLOOKUP(A110,Inputs!$A$53:$C$55,3,TRUE)</f>
        <v/>
      </c>
      <c r="G110" s="12">
        <f>MIN(F110,E110+0.03*MAX(0,MIN(1,(B110-C110)/(D110-C110))))</f>
        <v/>
      </c>
      <c r="H110" s="13">
        <f>MAX(0,0.09*(B110-C110)/12)</f>
        <v/>
      </c>
      <c r="I110" s="13">
        <f>K109*G110/12</f>
        <v/>
      </c>
      <c r="J110" s="13">
        <f>MIN(H110,K109+I110)</f>
        <v/>
      </c>
      <c r="K110" s="13">
        <f>MAX(0,K109+I110-J110)</f>
        <v/>
      </c>
      <c r="L110" s="13">
        <f>Inputs!$B$7+IF(AND(YEAR(A110)=YEAR(Inputs!$B$9),MONTH(A110)=MONTH(Inputs!$B$9)),Inputs!$B$8,0)</f>
        <v/>
      </c>
      <c r="M110" s="13">
        <f>O109*G110/12</f>
        <v/>
      </c>
      <c r="N110" s="13">
        <f>MIN(H110+L110,O109+M110)</f>
        <v/>
      </c>
      <c r="O110" s="13">
        <f>MAX(0,O109+M110-N110)</f>
        <v/>
      </c>
    </row>
    <row r="111">
      <c r="A111" s="11" t="n">
        <v>49430</v>
      </c>
      <c r="B111" s="15">
        <f>IF(MONTH(A111)=4,B110*(1+Inputs!$B$6),B110)</f>
        <v/>
      </c>
      <c r="C111" s="15">
        <f>IF(AND(MONTH(A111)=4,YEAR(A111)&gt;=Inputs!$B$20),C110*(1+Inputs!$B$21),C110)</f>
        <v/>
      </c>
      <c r="D111" s="15">
        <f>IF(AND(MONTH(A111)=4,YEAR(A111)&gt;=Inputs!$B$20),D110*(1+Inputs!$B$21),D110)</f>
        <v/>
      </c>
      <c r="E111" s="12">
        <f>VLOOKUP(A111,Inputs!$A$53:$C$55,2,TRUE)</f>
        <v/>
      </c>
      <c r="F111" s="12">
        <f>VLOOKUP(A111,Inputs!$A$53:$C$55,3,TRUE)</f>
        <v/>
      </c>
      <c r="G111" s="12">
        <f>MIN(F111,E111+0.03*MAX(0,MIN(1,(B111-C111)/(D111-C111))))</f>
        <v/>
      </c>
      <c r="H111" s="13">
        <f>MAX(0,0.09*(B111-C111)/12)</f>
        <v/>
      </c>
      <c r="I111" s="13">
        <f>K110*G111/12</f>
        <v/>
      </c>
      <c r="J111" s="13">
        <f>MIN(H111,K110+I111)</f>
        <v/>
      </c>
      <c r="K111" s="13">
        <f>MAX(0,K110+I111-J111)</f>
        <v/>
      </c>
      <c r="L111" s="13">
        <f>Inputs!$B$7+IF(AND(YEAR(A111)=YEAR(Inputs!$B$9),MONTH(A111)=MONTH(Inputs!$B$9)),Inputs!$B$8,0)</f>
        <v/>
      </c>
      <c r="M111" s="13">
        <f>O110*G111/12</f>
        <v/>
      </c>
      <c r="N111" s="13">
        <f>MIN(H111+L111,O110+M111)</f>
        <v/>
      </c>
      <c r="O111" s="13">
        <f>MAX(0,O110+M111-N111)</f>
        <v/>
      </c>
    </row>
    <row r="112">
      <c r="A112" s="11" t="n">
        <v>49461</v>
      </c>
      <c r="B112" s="15">
        <f>IF(MONTH(A112)=4,B111*(1+Inputs!$B$6),B111)</f>
        <v/>
      </c>
      <c r="C112" s="15">
        <f>IF(AND(MONTH(A112)=4,YEAR(A112)&gt;=Inputs!$B$20),C111*(1+Inputs!$B$21),C111)</f>
        <v/>
      </c>
      <c r="D112" s="15">
        <f>IF(AND(MONTH(A112)=4,YEAR(A112)&gt;=Inputs!$B$20),D111*(1+Inputs!$B$21),D111)</f>
        <v/>
      </c>
      <c r="E112" s="12">
        <f>VLOOKUP(A112,Inputs!$A$53:$C$55,2,TRUE)</f>
        <v/>
      </c>
      <c r="F112" s="12">
        <f>VLOOKUP(A112,Inputs!$A$53:$C$55,3,TRUE)</f>
        <v/>
      </c>
      <c r="G112" s="12">
        <f>MIN(F112,E112+0.03*MAX(0,MIN(1,(B112-C112)/(D112-C112))))</f>
        <v/>
      </c>
      <c r="H112" s="13">
        <f>MAX(0,0.09*(B112-C112)/12)</f>
        <v/>
      </c>
      <c r="I112" s="13">
        <f>K111*G112/12</f>
        <v/>
      </c>
      <c r="J112" s="13">
        <f>MIN(H112,K111+I112)</f>
        <v/>
      </c>
      <c r="K112" s="13">
        <f>MAX(0,K111+I112-J112)</f>
        <v/>
      </c>
      <c r="L112" s="13">
        <f>Inputs!$B$7+IF(AND(YEAR(A112)=YEAR(Inputs!$B$9),MONTH(A112)=MONTH(Inputs!$B$9)),Inputs!$B$8,0)</f>
        <v/>
      </c>
      <c r="M112" s="13">
        <f>O111*G112/12</f>
        <v/>
      </c>
      <c r="N112" s="13">
        <f>MIN(H112+L112,O111+M112)</f>
        <v/>
      </c>
      <c r="O112" s="13">
        <f>MAX(0,O111+M112-N112)</f>
        <v/>
      </c>
    </row>
    <row r="113">
      <c r="A113" s="11" t="n">
        <v>49491</v>
      </c>
      <c r="B113" s="15">
        <f>IF(MONTH(A113)=4,B112*(1+Inputs!$B$6),B112)</f>
        <v/>
      </c>
      <c r="C113" s="15">
        <f>IF(AND(MONTH(A113)=4,YEAR(A113)&gt;=Inputs!$B$20),C112*(1+Inputs!$B$21),C112)</f>
        <v/>
      </c>
      <c r="D113" s="15">
        <f>IF(AND(MONTH(A113)=4,YEAR(A113)&gt;=Inputs!$B$20),D112*(1+Inputs!$B$21),D112)</f>
        <v/>
      </c>
      <c r="E113" s="12">
        <f>VLOOKUP(A113,Inputs!$A$53:$C$55,2,TRUE)</f>
        <v/>
      </c>
      <c r="F113" s="12">
        <f>VLOOKUP(A113,Inputs!$A$53:$C$55,3,TRUE)</f>
        <v/>
      </c>
      <c r="G113" s="12">
        <f>MIN(F113,E113+0.03*MAX(0,MIN(1,(B113-C113)/(D113-C113))))</f>
        <v/>
      </c>
      <c r="H113" s="13">
        <f>MAX(0,0.09*(B113-C113)/12)</f>
        <v/>
      </c>
      <c r="I113" s="13">
        <f>K112*G113/12</f>
        <v/>
      </c>
      <c r="J113" s="13">
        <f>MIN(H113,K112+I113)</f>
        <v/>
      </c>
      <c r="K113" s="13">
        <f>MAX(0,K112+I113-J113)</f>
        <v/>
      </c>
      <c r="L113" s="13">
        <f>Inputs!$B$7+IF(AND(YEAR(A113)=YEAR(Inputs!$B$9),MONTH(A113)=MONTH(Inputs!$B$9)),Inputs!$B$8,0)</f>
        <v/>
      </c>
      <c r="M113" s="13">
        <f>O112*G113/12</f>
        <v/>
      </c>
      <c r="N113" s="13">
        <f>MIN(H113+L113,O112+M113)</f>
        <v/>
      </c>
      <c r="O113" s="13">
        <f>MAX(0,O112+M113-N113)</f>
        <v/>
      </c>
    </row>
    <row r="114">
      <c r="A114" s="11" t="n">
        <v>49522</v>
      </c>
      <c r="B114" s="15">
        <f>IF(MONTH(A114)=4,B113*(1+Inputs!$B$6),B113)</f>
        <v/>
      </c>
      <c r="C114" s="15">
        <f>IF(AND(MONTH(A114)=4,YEAR(A114)&gt;=Inputs!$B$20),C113*(1+Inputs!$B$21),C113)</f>
        <v/>
      </c>
      <c r="D114" s="15">
        <f>IF(AND(MONTH(A114)=4,YEAR(A114)&gt;=Inputs!$B$20),D113*(1+Inputs!$B$21),D113)</f>
        <v/>
      </c>
      <c r="E114" s="12">
        <f>VLOOKUP(A114,Inputs!$A$53:$C$55,2,TRUE)</f>
        <v/>
      </c>
      <c r="F114" s="12">
        <f>VLOOKUP(A114,Inputs!$A$53:$C$55,3,TRUE)</f>
        <v/>
      </c>
      <c r="G114" s="12">
        <f>MIN(F114,E114+0.03*MAX(0,MIN(1,(B114-C114)/(D114-C114))))</f>
        <v/>
      </c>
      <c r="H114" s="13">
        <f>MAX(0,0.09*(B114-C114)/12)</f>
        <v/>
      </c>
      <c r="I114" s="13">
        <f>K113*G114/12</f>
        <v/>
      </c>
      <c r="J114" s="13">
        <f>MIN(H114,K113+I114)</f>
        <v/>
      </c>
      <c r="K114" s="13">
        <f>MAX(0,K113+I114-J114)</f>
        <v/>
      </c>
      <c r="L114" s="13">
        <f>Inputs!$B$7+IF(AND(YEAR(A114)=YEAR(Inputs!$B$9),MONTH(A114)=MONTH(Inputs!$B$9)),Inputs!$B$8,0)</f>
        <v/>
      </c>
      <c r="M114" s="13">
        <f>O113*G114/12</f>
        <v/>
      </c>
      <c r="N114" s="13">
        <f>MIN(H114+L114,O113+M114)</f>
        <v/>
      </c>
      <c r="O114" s="13">
        <f>MAX(0,O113+M114-N114)</f>
        <v/>
      </c>
    </row>
    <row r="115">
      <c r="A115" s="11" t="n">
        <v>49553</v>
      </c>
      <c r="B115" s="15">
        <f>IF(MONTH(A115)=4,B114*(1+Inputs!$B$6),B114)</f>
        <v/>
      </c>
      <c r="C115" s="15">
        <f>IF(AND(MONTH(A115)=4,YEAR(A115)&gt;=Inputs!$B$20),C114*(1+Inputs!$B$21),C114)</f>
        <v/>
      </c>
      <c r="D115" s="15">
        <f>IF(AND(MONTH(A115)=4,YEAR(A115)&gt;=Inputs!$B$20),D114*(1+Inputs!$B$21),D114)</f>
        <v/>
      </c>
      <c r="E115" s="12">
        <f>VLOOKUP(A115,Inputs!$A$53:$C$55,2,TRUE)</f>
        <v/>
      </c>
      <c r="F115" s="12">
        <f>VLOOKUP(A115,Inputs!$A$53:$C$55,3,TRUE)</f>
        <v/>
      </c>
      <c r="G115" s="12">
        <f>MIN(F115,E115+0.03*MAX(0,MIN(1,(B115-C115)/(D115-C115))))</f>
        <v/>
      </c>
      <c r="H115" s="13">
        <f>MAX(0,0.09*(B115-C115)/12)</f>
        <v/>
      </c>
      <c r="I115" s="13">
        <f>K114*G115/12</f>
        <v/>
      </c>
      <c r="J115" s="13">
        <f>MIN(H115,K114+I115)</f>
        <v/>
      </c>
      <c r="K115" s="13">
        <f>MAX(0,K114+I115-J115)</f>
        <v/>
      </c>
      <c r="L115" s="13">
        <f>Inputs!$B$7+IF(AND(YEAR(A115)=YEAR(Inputs!$B$9),MONTH(A115)=MONTH(Inputs!$B$9)),Inputs!$B$8,0)</f>
        <v/>
      </c>
      <c r="M115" s="13">
        <f>O114*G115/12</f>
        <v/>
      </c>
      <c r="N115" s="13">
        <f>MIN(H115+L115,O114+M115)</f>
        <v/>
      </c>
      <c r="O115" s="13">
        <f>MAX(0,O114+M115-N115)</f>
        <v/>
      </c>
    </row>
    <row r="116">
      <c r="A116" s="11" t="n">
        <v>49583</v>
      </c>
      <c r="B116" s="15">
        <f>IF(MONTH(A116)=4,B115*(1+Inputs!$B$6),B115)</f>
        <v/>
      </c>
      <c r="C116" s="15">
        <f>IF(AND(MONTH(A116)=4,YEAR(A116)&gt;=Inputs!$B$20),C115*(1+Inputs!$B$21),C115)</f>
        <v/>
      </c>
      <c r="D116" s="15">
        <f>IF(AND(MONTH(A116)=4,YEAR(A116)&gt;=Inputs!$B$20),D115*(1+Inputs!$B$21),D115)</f>
        <v/>
      </c>
      <c r="E116" s="12">
        <f>VLOOKUP(A116,Inputs!$A$53:$C$55,2,TRUE)</f>
        <v/>
      </c>
      <c r="F116" s="12">
        <f>VLOOKUP(A116,Inputs!$A$53:$C$55,3,TRUE)</f>
        <v/>
      </c>
      <c r="G116" s="12">
        <f>MIN(F116,E116+0.03*MAX(0,MIN(1,(B116-C116)/(D116-C116))))</f>
        <v/>
      </c>
      <c r="H116" s="13">
        <f>MAX(0,0.09*(B116-C116)/12)</f>
        <v/>
      </c>
      <c r="I116" s="13">
        <f>K115*G116/12</f>
        <v/>
      </c>
      <c r="J116" s="13">
        <f>MIN(H116,K115+I116)</f>
        <v/>
      </c>
      <c r="K116" s="13">
        <f>MAX(0,K115+I116-J116)</f>
        <v/>
      </c>
      <c r="L116" s="13">
        <f>Inputs!$B$7+IF(AND(YEAR(A116)=YEAR(Inputs!$B$9),MONTH(A116)=MONTH(Inputs!$B$9)),Inputs!$B$8,0)</f>
        <v/>
      </c>
      <c r="M116" s="13">
        <f>O115*G116/12</f>
        <v/>
      </c>
      <c r="N116" s="13">
        <f>MIN(H116+L116,O115+M116)</f>
        <v/>
      </c>
      <c r="O116" s="13">
        <f>MAX(0,O115+M116-N116)</f>
        <v/>
      </c>
    </row>
    <row r="117">
      <c r="A117" s="11" t="n">
        <v>49614</v>
      </c>
      <c r="B117" s="15">
        <f>IF(MONTH(A117)=4,B116*(1+Inputs!$B$6),B116)</f>
        <v/>
      </c>
      <c r="C117" s="15">
        <f>IF(AND(MONTH(A117)=4,YEAR(A117)&gt;=Inputs!$B$20),C116*(1+Inputs!$B$21),C116)</f>
        <v/>
      </c>
      <c r="D117" s="15">
        <f>IF(AND(MONTH(A117)=4,YEAR(A117)&gt;=Inputs!$B$20),D116*(1+Inputs!$B$21),D116)</f>
        <v/>
      </c>
      <c r="E117" s="12">
        <f>VLOOKUP(A117,Inputs!$A$53:$C$55,2,TRUE)</f>
        <v/>
      </c>
      <c r="F117" s="12">
        <f>VLOOKUP(A117,Inputs!$A$53:$C$55,3,TRUE)</f>
        <v/>
      </c>
      <c r="G117" s="12">
        <f>MIN(F117,E117+0.03*MAX(0,MIN(1,(B117-C117)/(D117-C117))))</f>
        <v/>
      </c>
      <c r="H117" s="13">
        <f>MAX(0,0.09*(B117-C117)/12)</f>
        <v/>
      </c>
      <c r="I117" s="13">
        <f>K116*G117/12</f>
        <v/>
      </c>
      <c r="J117" s="13">
        <f>MIN(H117,K116+I117)</f>
        <v/>
      </c>
      <c r="K117" s="13">
        <f>MAX(0,K116+I117-J117)</f>
        <v/>
      </c>
      <c r="L117" s="13">
        <f>Inputs!$B$7+IF(AND(YEAR(A117)=YEAR(Inputs!$B$9),MONTH(A117)=MONTH(Inputs!$B$9)),Inputs!$B$8,0)</f>
        <v/>
      </c>
      <c r="M117" s="13">
        <f>O116*G117/12</f>
        <v/>
      </c>
      <c r="N117" s="13">
        <f>MIN(H117+L117,O116+M117)</f>
        <v/>
      </c>
      <c r="O117" s="13">
        <f>MAX(0,O116+M117-N117)</f>
        <v/>
      </c>
    </row>
    <row r="118">
      <c r="A118" s="11" t="n">
        <v>49644</v>
      </c>
      <c r="B118" s="15">
        <f>IF(MONTH(A118)=4,B117*(1+Inputs!$B$6),B117)</f>
        <v/>
      </c>
      <c r="C118" s="15">
        <f>IF(AND(MONTH(A118)=4,YEAR(A118)&gt;=Inputs!$B$20),C117*(1+Inputs!$B$21),C117)</f>
        <v/>
      </c>
      <c r="D118" s="15">
        <f>IF(AND(MONTH(A118)=4,YEAR(A118)&gt;=Inputs!$B$20),D117*(1+Inputs!$B$21),D117)</f>
        <v/>
      </c>
      <c r="E118" s="12">
        <f>VLOOKUP(A118,Inputs!$A$53:$C$55,2,TRUE)</f>
        <v/>
      </c>
      <c r="F118" s="12">
        <f>VLOOKUP(A118,Inputs!$A$53:$C$55,3,TRUE)</f>
        <v/>
      </c>
      <c r="G118" s="12">
        <f>MIN(F118,E118+0.03*MAX(0,MIN(1,(B118-C118)/(D118-C118))))</f>
        <v/>
      </c>
      <c r="H118" s="13">
        <f>MAX(0,0.09*(B118-C118)/12)</f>
        <v/>
      </c>
      <c r="I118" s="13">
        <f>K117*G118/12</f>
        <v/>
      </c>
      <c r="J118" s="13">
        <f>MIN(H118,K117+I118)</f>
        <v/>
      </c>
      <c r="K118" s="13">
        <f>MAX(0,K117+I118-J118)</f>
        <v/>
      </c>
      <c r="L118" s="13">
        <f>Inputs!$B$7+IF(AND(YEAR(A118)=YEAR(Inputs!$B$9),MONTH(A118)=MONTH(Inputs!$B$9)),Inputs!$B$8,0)</f>
        <v/>
      </c>
      <c r="M118" s="13">
        <f>O117*G118/12</f>
        <v/>
      </c>
      <c r="N118" s="13">
        <f>MIN(H118+L118,O117+M118)</f>
        <v/>
      </c>
      <c r="O118" s="13">
        <f>MAX(0,O117+M118-N118)</f>
        <v/>
      </c>
    </row>
    <row r="119">
      <c r="A119" s="11" t="n">
        <v>49675</v>
      </c>
      <c r="B119" s="15">
        <f>IF(MONTH(A119)=4,B118*(1+Inputs!$B$6),B118)</f>
        <v/>
      </c>
      <c r="C119" s="15">
        <f>IF(AND(MONTH(A119)=4,YEAR(A119)&gt;=Inputs!$B$20),C118*(1+Inputs!$B$21),C118)</f>
        <v/>
      </c>
      <c r="D119" s="15">
        <f>IF(AND(MONTH(A119)=4,YEAR(A119)&gt;=Inputs!$B$20),D118*(1+Inputs!$B$21),D118)</f>
        <v/>
      </c>
      <c r="E119" s="12">
        <f>VLOOKUP(A119,Inputs!$A$53:$C$55,2,TRUE)</f>
        <v/>
      </c>
      <c r="F119" s="12">
        <f>VLOOKUP(A119,Inputs!$A$53:$C$55,3,TRUE)</f>
        <v/>
      </c>
      <c r="G119" s="12">
        <f>MIN(F119,E119+0.03*MAX(0,MIN(1,(B119-C119)/(D119-C119))))</f>
        <v/>
      </c>
      <c r="H119" s="13">
        <f>MAX(0,0.09*(B119-C119)/12)</f>
        <v/>
      </c>
      <c r="I119" s="13">
        <f>K118*G119/12</f>
        <v/>
      </c>
      <c r="J119" s="13">
        <f>MIN(H119,K118+I119)</f>
        <v/>
      </c>
      <c r="K119" s="13">
        <f>MAX(0,K118+I119-J119)</f>
        <v/>
      </c>
      <c r="L119" s="13">
        <f>Inputs!$B$7+IF(AND(YEAR(A119)=YEAR(Inputs!$B$9),MONTH(A119)=MONTH(Inputs!$B$9)),Inputs!$B$8,0)</f>
        <v/>
      </c>
      <c r="M119" s="13">
        <f>O118*G119/12</f>
        <v/>
      </c>
      <c r="N119" s="13">
        <f>MIN(H119+L119,O118+M119)</f>
        <v/>
      </c>
      <c r="O119" s="13">
        <f>MAX(0,O118+M119-N119)</f>
        <v/>
      </c>
    </row>
    <row r="120">
      <c r="A120" s="11" t="n">
        <v>49706</v>
      </c>
      <c r="B120" s="15">
        <f>IF(MONTH(A120)=4,B119*(1+Inputs!$B$6),B119)</f>
        <v/>
      </c>
      <c r="C120" s="15">
        <f>IF(AND(MONTH(A120)=4,YEAR(A120)&gt;=Inputs!$B$20),C119*(1+Inputs!$B$21),C119)</f>
        <v/>
      </c>
      <c r="D120" s="15">
        <f>IF(AND(MONTH(A120)=4,YEAR(A120)&gt;=Inputs!$B$20),D119*(1+Inputs!$B$21),D119)</f>
        <v/>
      </c>
      <c r="E120" s="12">
        <f>VLOOKUP(A120,Inputs!$A$53:$C$55,2,TRUE)</f>
        <v/>
      </c>
      <c r="F120" s="12">
        <f>VLOOKUP(A120,Inputs!$A$53:$C$55,3,TRUE)</f>
        <v/>
      </c>
      <c r="G120" s="12">
        <f>MIN(F120,E120+0.03*MAX(0,MIN(1,(B120-C120)/(D120-C120))))</f>
        <v/>
      </c>
      <c r="H120" s="13">
        <f>MAX(0,0.09*(B120-C120)/12)</f>
        <v/>
      </c>
      <c r="I120" s="13">
        <f>K119*G120/12</f>
        <v/>
      </c>
      <c r="J120" s="13">
        <f>MIN(H120,K119+I120)</f>
        <v/>
      </c>
      <c r="K120" s="13">
        <f>MAX(0,K119+I120-J120)</f>
        <v/>
      </c>
      <c r="L120" s="13">
        <f>Inputs!$B$7+IF(AND(YEAR(A120)=YEAR(Inputs!$B$9),MONTH(A120)=MONTH(Inputs!$B$9)),Inputs!$B$8,0)</f>
        <v/>
      </c>
      <c r="M120" s="13">
        <f>O119*G120/12</f>
        <v/>
      </c>
      <c r="N120" s="13">
        <f>MIN(H120+L120,O119+M120)</f>
        <v/>
      </c>
      <c r="O120" s="13">
        <f>MAX(0,O119+M120-N120)</f>
        <v/>
      </c>
    </row>
    <row r="121">
      <c r="A121" s="11" t="n">
        <v>49735</v>
      </c>
      <c r="B121" s="15">
        <f>IF(MONTH(A121)=4,B120*(1+Inputs!$B$6),B120)</f>
        <v/>
      </c>
      <c r="C121" s="15">
        <f>IF(AND(MONTH(A121)=4,YEAR(A121)&gt;=Inputs!$B$20),C120*(1+Inputs!$B$21),C120)</f>
        <v/>
      </c>
      <c r="D121" s="15">
        <f>IF(AND(MONTH(A121)=4,YEAR(A121)&gt;=Inputs!$B$20),D120*(1+Inputs!$B$21),D120)</f>
        <v/>
      </c>
      <c r="E121" s="12">
        <f>VLOOKUP(A121,Inputs!$A$53:$C$55,2,TRUE)</f>
        <v/>
      </c>
      <c r="F121" s="12">
        <f>VLOOKUP(A121,Inputs!$A$53:$C$55,3,TRUE)</f>
        <v/>
      </c>
      <c r="G121" s="12">
        <f>MIN(F121,E121+0.03*MAX(0,MIN(1,(B121-C121)/(D121-C121))))</f>
        <v/>
      </c>
      <c r="H121" s="13">
        <f>MAX(0,0.09*(B121-C121)/12)</f>
        <v/>
      </c>
      <c r="I121" s="13">
        <f>K120*G121/12</f>
        <v/>
      </c>
      <c r="J121" s="13">
        <f>MIN(H121,K120+I121)</f>
        <v/>
      </c>
      <c r="K121" s="13">
        <f>MAX(0,K120+I121-J121)</f>
        <v/>
      </c>
      <c r="L121" s="13">
        <f>Inputs!$B$7+IF(AND(YEAR(A121)=YEAR(Inputs!$B$9),MONTH(A121)=MONTH(Inputs!$B$9)),Inputs!$B$8,0)</f>
        <v/>
      </c>
      <c r="M121" s="13">
        <f>O120*G121/12</f>
        <v/>
      </c>
      <c r="N121" s="13">
        <f>MIN(H121+L121,O120+M121)</f>
        <v/>
      </c>
      <c r="O121" s="13">
        <f>MAX(0,O120+M121-N121)</f>
        <v/>
      </c>
    </row>
    <row r="122">
      <c r="A122" s="11" t="n">
        <v>49766</v>
      </c>
      <c r="B122" s="15">
        <f>IF(MONTH(A122)=4,B121*(1+Inputs!$B$6),B121)</f>
        <v/>
      </c>
      <c r="C122" s="15">
        <f>IF(AND(MONTH(A122)=4,YEAR(A122)&gt;=Inputs!$B$20),C121*(1+Inputs!$B$21),C121)</f>
        <v/>
      </c>
      <c r="D122" s="15">
        <f>IF(AND(MONTH(A122)=4,YEAR(A122)&gt;=Inputs!$B$20),D121*(1+Inputs!$B$21),D121)</f>
        <v/>
      </c>
      <c r="E122" s="12">
        <f>VLOOKUP(A122,Inputs!$A$53:$C$55,2,TRUE)</f>
        <v/>
      </c>
      <c r="F122" s="12">
        <f>VLOOKUP(A122,Inputs!$A$53:$C$55,3,TRUE)</f>
        <v/>
      </c>
      <c r="G122" s="12">
        <f>MIN(F122,E122+0.03*MAX(0,MIN(1,(B122-C122)/(D122-C122))))</f>
        <v/>
      </c>
      <c r="H122" s="13">
        <f>MAX(0,0.09*(B122-C122)/12)</f>
        <v/>
      </c>
      <c r="I122" s="13">
        <f>K121*G122/12</f>
        <v/>
      </c>
      <c r="J122" s="13">
        <f>MIN(H122,K121+I122)</f>
        <v/>
      </c>
      <c r="K122" s="13">
        <f>MAX(0,K121+I122-J122)</f>
        <v/>
      </c>
      <c r="L122" s="13">
        <f>Inputs!$B$7+IF(AND(YEAR(A122)=YEAR(Inputs!$B$9),MONTH(A122)=MONTH(Inputs!$B$9)),Inputs!$B$8,0)</f>
        <v/>
      </c>
      <c r="M122" s="13">
        <f>O121*G122/12</f>
        <v/>
      </c>
      <c r="N122" s="13">
        <f>MIN(H122+L122,O121+M122)</f>
        <v/>
      </c>
      <c r="O122" s="13">
        <f>MAX(0,O121+M122-N122)</f>
        <v/>
      </c>
    </row>
    <row r="123">
      <c r="A123" s="11" t="n">
        <v>49796</v>
      </c>
      <c r="B123" s="15">
        <f>IF(MONTH(A123)=4,B122*(1+Inputs!$B$6),B122)</f>
        <v/>
      </c>
      <c r="C123" s="15">
        <f>IF(AND(MONTH(A123)=4,YEAR(A123)&gt;=Inputs!$B$20),C122*(1+Inputs!$B$21),C122)</f>
        <v/>
      </c>
      <c r="D123" s="15">
        <f>IF(AND(MONTH(A123)=4,YEAR(A123)&gt;=Inputs!$B$20),D122*(1+Inputs!$B$21),D122)</f>
        <v/>
      </c>
      <c r="E123" s="12">
        <f>VLOOKUP(A123,Inputs!$A$53:$C$55,2,TRUE)</f>
        <v/>
      </c>
      <c r="F123" s="12">
        <f>VLOOKUP(A123,Inputs!$A$53:$C$55,3,TRUE)</f>
        <v/>
      </c>
      <c r="G123" s="12">
        <f>MIN(F123,E123+0.03*MAX(0,MIN(1,(B123-C123)/(D123-C123))))</f>
        <v/>
      </c>
      <c r="H123" s="13">
        <f>MAX(0,0.09*(B123-C123)/12)</f>
        <v/>
      </c>
      <c r="I123" s="13">
        <f>K122*G123/12</f>
        <v/>
      </c>
      <c r="J123" s="13">
        <f>MIN(H123,K122+I123)</f>
        <v/>
      </c>
      <c r="K123" s="13">
        <f>MAX(0,K122+I123-J123)</f>
        <v/>
      </c>
      <c r="L123" s="13">
        <f>Inputs!$B$7+IF(AND(YEAR(A123)=YEAR(Inputs!$B$9),MONTH(A123)=MONTH(Inputs!$B$9)),Inputs!$B$8,0)</f>
        <v/>
      </c>
      <c r="M123" s="13">
        <f>O122*G123/12</f>
        <v/>
      </c>
      <c r="N123" s="13">
        <f>MIN(H123+L123,O122+M123)</f>
        <v/>
      </c>
      <c r="O123" s="13">
        <f>MAX(0,O122+M123-N123)</f>
        <v/>
      </c>
    </row>
    <row r="124">
      <c r="A124" s="11" t="n">
        <v>49827</v>
      </c>
      <c r="B124" s="15">
        <f>IF(MONTH(A124)=4,B123*(1+Inputs!$B$6),B123)</f>
        <v/>
      </c>
      <c r="C124" s="15">
        <f>IF(AND(MONTH(A124)=4,YEAR(A124)&gt;=Inputs!$B$20),C123*(1+Inputs!$B$21),C123)</f>
        <v/>
      </c>
      <c r="D124" s="15">
        <f>IF(AND(MONTH(A124)=4,YEAR(A124)&gt;=Inputs!$B$20),D123*(1+Inputs!$B$21),D123)</f>
        <v/>
      </c>
      <c r="E124" s="12">
        <f>VLOOKUP(A124,Inputs!$A$53:$C$55,2,TRUE)</f>
        <v/>
      </c>
      <c r="F124" s="12">
        <f>VLOOKUP(A124,Inputs!$A$53:$C$55,3,TRUE)</f>
        <v/>
      </c>
      <c r="G124" s="12">
        <f>MIN(F124,E124+0.03*MAX(0,MIN(1,(B124-C124)/(D124-C124))))</f>
        <v/>
      </c>
      <c r="H124" s="13">
        <f>MAX(0,0.09*(B124-C124)/12)</f>
        <v/>
      </c>
      <c r="I124" s="13">
        <f>K123*G124/12</f>
        <v/>
      </c>
      <c r="J124" s="13">
        <f>MIN(H124,K123+I124)</f>
        <v/>
      </c>
      <c r="K124" s="13">
        <f>MAX(0,K123+I124-J124)</f>
        <v/>
      </c>
      <c r="L124" s="13">
        <f>Inputs!$B$7+IF(AND(YEAR(A124)=YEAR(Inputs!$B$9),MONTH(A124)=MONTH(Inputs!$B$9)),Inputs!$B$8,0)</f>
        <v/>
      </c>
      <c r="M124" s="13">
        <f>O123*G124/12</f>
        <v/>
      </c>
      <c r="N124" s="13">
        <f>MIN(H124+L124,O123+M124)</f>
        <v/>
      </c>
      <c r="O124" s="13">
        <f>MAX(0,O123+M124-N124)</f>
        <v/>
      </c>
    </row>
    <row r="125">
      <c r="A125" s="11" t="n">
        <v>49857</v>
      </c>
      <c r="B125" s="15">
        <f>IF(MONTH(A125)=4,B124*(1+Inputs!$B$6),B124)</f>
        <v/>
      </c>
      <c r="C125" s="15">
        <f>IF(AND(MONTH(A125)=4,YEAR(A125)&gt;=Inputs!$B$20),C124*(1+Inputs!$B$21),C124)</f>
        <v/>
      </c>
      <c r="D125" s="15">
        <f>IF(AND(MONTH(A125)=4,YEAR(A125)&gt;=Inputs!$B$20),D124*(1+Inputs!$B$21),D124)</f>
        <v/>
      </c>
      <c r="E125" s="12">
        <f>VLOOKUP(A125,Inputs!$A$53:$C$55,2,TRUE)</f>
        <v/>
      </c>
      <c r="F125" s="12">
        <f>VLOOKUP(A125,Inputs!$A$53:$C$55,3,TRUE)</f>
        <v/>
      </c>
      <c r="G125" s="12">
        <f>MIN(F125,E125+0.03*MAX(0,MIN(1,(B125-C125)/(D125-C125))))</f>
        <v/>
      </c>
      <c r="H125" s="13">
        <f>MAX(0,0.09*(B125-C125)/12)</f>
        <v/>
      </c>
      <c r="I125" s="13">
        <f>K124*G125/12</f>
        <v/>
      </c>
      <c r="J125" s="13">
        <f>MIN(H125,K124+I125)</f>
        <v/>
      </c>
      <c r="K125" s="13">
        <f>MAX(0,K124+I125-J125)</f>
        <v/>
      </c>
      <c r="L125" s="13">
        <f>Inputs!$B$7+IF(AND(YEAR(A125)=YEAR(Inputs!$B$9),MONTH(A125)=MONTH(Inputs!$B$9)),Inputs!$B$8,0)</f>
        <v/>
      </c>
      <c r="M125" s="13">
        <f>O124*G125/12</f>
        <v/>
      </c>
      <c r="N125" s="13">
        <f>MIN(H125+L125,O124+M125)</f>
        <v/>
      </c>
      <c r="O125" s="13">
        <f>MAX(0,O124+M125-N125)</f>
        <v/>
      </c>
    </row>
    <row r="126">
      <c r="A126" s="11" t="n">
        <v>49888</v>
      </c>
      <c r="B126" s="15">
        <f>IF(MONTH(A126)=4,B125*(1+Inputs!$B$6),B125)</f>
        <v/>
      </c>
      <c r="C126" s="15">
        <f>IF(AND(MONTH(A126)=4,YEAR(A126)&gt;=Inputs!$B$20),C125*(1+Inputs!$B$21),C125)</f>
        <v/>
      </c>
      <c r="D126" s="15">
        <f>IF(AND(MONTH(A126)=4,YEAR(A126)&gt;=Inputs!$B$20),D125*(1+Inputs!$B$21),D125)</f>
        <v/>
      </c>
      <c r="E126" s="12">
        <f>VLOOKUP(A126,Inputs!$A$53:$C$55,2,TRUE)</f>
        <v/>
      </c>
      <c r="F126" s="12">
        <f>VLOOKUP(A126,Inputs!$A$53:$C$55,3,TRUE)</f>
        <v/>
      </c>
      <c r="G126" s="12">
        <f>MIN(F126,E126+0.03*MAX(0,MIN(1,(B126-C126)/(D126-C126))))</f>
        <v/>
      </c>
      <c r="H126" s="13">
        <f>MAX(0,0.09*(B126-C126)/12)</f>
        <v/>
      </c>
      <c r="I126" s="13">
        <f>K125*G126/12</f>
        <v/>
      </c>
      <c r="J126" s="13">
        <f>MIN(H126,K125+I126)</f>
        <v/>
      </c>
      <c r="K126" s="13">
        <f>MAX(0,K125+I126-J126)</f>
        <v/>
      </c>
      <c r="L126" s="13">
        <f>Inputs!$B$7+IF(AND(YEAR(A126)=YEAR(Inputs!$B$9),MONTH(A126)=MONTH(Inputs!$B$9)),Inputs!$B$8,0)</f>
        <v/>
      </c>
      <c r="M126" s="13">
        <f>O125*G126/12</f>
        <v/>
      </c>
      <c r="N126" s="13">
        <f>MIN(H126+L126,O125+M126)</f>
        <v/>
      </c>
      <c r="O126" s="13">
        <f>MAX(0,O125+M126-N126)</f>
        <v/>
      </c>
    </row>
    <row r="127">
      <c r="A127" s="11" t="n">
        <v>49919</v>
      </c>
      <c r="B127" s="15">
        <f>IF(MONTH(A127)=4,B126*(1+Inputs!$B$6),B126)</f>
        <v/>
      </c>
      <c r="C127" s="15">
        <f>IF(AND(MONTH(A127)=4,YEAR(A127)&gt;=Inputs!$B$20),C126*(1+Inputs!$B$21),C126)</f>
        <v/>
      </c>
      <c r="D127" s="15">
        <f>IF(AND(MONTH(A127)=4,YEAR(A127)&gt;=Inputs!$B$20),D126*(1+Inputs!$B$21),D126)</f>
        <v/>
      </c>
      <c r="E127" s="12">
        <f>VLOOKUP(A127,Inputs!$A$53:$C$55,2,TRUE)</f>
        <v/>
      </c>
      <c r="F127" s="12">
        <f>VLOOKUP(A127,Inputs!$A$53:$C$55,3,TRUE)</f>
        <v/>
      </c>
      <c r="G127" s="12">
        <f>MIN(F127,E127+0.03*MAX(0,MIN(1,(B127-C127)/(D127-C127))))</f>
        <v/>
      </c>
      <c r="H127" s="13">
        <f>MAX(0,0.09*(B127-C127)/12)</f>
        <v/>
      </c>
      <c r="I127" s="13">
        <f>K126*G127/12</f>
        <v/>
      </c>
      <c r="J127" s="13">
        <f>MIN(H127,K126+I127)</f>
        <v/>
      </c>
      <c r="K127" s="13">
        <f>MAX(0,K126+I127-J127)</f>
        <v/>
      </c>
      <c r="L127" s="13">
        <f>Inputs!$B$7+IF(AND(YEAR(A127)=YEAR(Inputs!$B$9),MONTH(A127)=MONTH(Inputs!$B$9)),Inputs!$B$8,0)</f>
        <v/>
      </c>
      <c r="M127" s="13">
        <f>O126*G127/12</f>
        <v/>
      </c>
      <c r="N127" s="13">
        <f>MIN(H127+L127,O126+M127)</f>
        <v/>
      </c>
      <c r="O127" s="13">
        <f>MAX(0,O126+M127-N127)</f>
        <v/>
      </c>
    </row>
    <row r="128">
      <c r="A128" s="11" t="n">
        <v>49949</v>
      </c>
      <c r="B128" s="15">
        <f>IF(MONTH(A128)=4,B127*(1+Inputs!$B$6),B127)</f>
        <v/>
      </c>
      <c r="C128" s="15">
        <f>IF(AND(MONTH(A128)=4,YEAR(A128)&gt;=Inputs!$B$20),C127*(1+Inputs!$B$21),C127)</f>
        <v/>
      </c>
      <c r="D128" s="15">
        <f>IF(AND(MONTH(A128)=4,YEAR(A128)&gt;=Inputs!$B$20),D127*(1+Inputs!$B$21),D127)</f>
        <v/>
      </c>
      <c r="E128" s="12">
        <f>VLOOKUP(A128,Inputs!$A$53:$C$55,2,TRUE)</f>
        <v/>
      </c>
      <c r="F128" s="12">
        <f>VLOOKUP(A128,Inputs!$A$53:$C$55,3,TRUE)</f>
        <v/>
      </c>
      <c r="G128" s="12">
        <f>MIN(F128,E128+0.03*MAX(0,MIN(1,(B128-C128)/(D128-C128))))</f>
        <v/>
      </c>
      <c r="H128" s="13">
        <f>MAX(0,0.09*(B128-C128)/12)</f>
        <v/>
      </c>
      <c r="I128" s="13">
        <f>K127*G128/12</f>
        <v/>
      </c>
      <c r="J128" s="13">
        <f>MIN(H128,K127+I128)</f>
        <v/>
      </c>
      <c r="K128" s="13">
        <f>MAX(0,K127+I128-J128)</f>
        <v/>
      </c>
      <c r="L128" s="13">
        <f>Inputs!$B$7+IF(AND(YEAR(A128)=YEAR(Inputs!$B$9),MONTH(A128)=MONTH(Inputs!$B$9)),Inputs!$B$8,0)</f>
        <v/>
      </c>
      <c r="M128" s="13">
        <f>O127*G128/12</f>
        <v/>
      </c>
      <c r="N128" s="13">
        <f>MIN(H128+L128,O127+M128)</f>
        <v/>
      </c>
      <c r="O128" s="13">
        <f>MAX(0,O127+M128-N128)</f>
        <v/>
      </c>
    </row>
    <row r="129">
      <c r="A129" s="11" t="n">
        <v>49980</v>
      </c>
      <c r="B129" s="15">
        <f>IF(MONTH(A129)=4,B128*(1+Inputs!$B$6),B128)</f>
        <v/>
      </c>
      <c r="C129" s="15">
        <f>IF(AND(MONTH(A129)=4,YEAR(A129)&gt;=Inputs!$B$20),C128*(1+Inputs!$B$21),C128)</f>
        <v/>
      </c>
      <c r="D129" s="15">
        <f>IF(AND(MONTH(A129)=4,YEAR(A129)&gt;=Inputs!$B$20),D128*(1+Inputs!$B$21),D128)</f>
        <v/>
      </c>
      <c r="E129" s="12">
        <f>VLOOKUP(A129,Inputs!$A$53:$C$55,2,TRUE)</f>
        <v/>
      </c>
      <c r="F129" s="12">
        <f>VLOOKUP(A129,Inputs!$A$53:$C$55,3,TRUE)</f>
        <v/>
      </c>
      <c r="G129" s="12">
        <f>MIN(F129,E129+0.03*MAX(0,MIN(1,(B129-C129)/(D129-C129))))</f>
        <v/>
      </c>
      <c r="H129" s="13">
        <f>MAX(0,0.09*(B129-C129)/12)</f>
        <v/>
      </c>
      <c r="I129" s="13">
        <f>K128*G129/12</f>
        <v/>
      </c>
      <c r="J129" s="13">
        <f>MIN(H129,K128+I129)</f>
        <v/>
      </c>
      <c r="K129" s="13">
        <f>MAX(0,K128+I129-J129)</f>
        <v/>
      </c>
      <c r="L129" s="13">
        <f>Inputs!$B$7+IF(AND(YEAR(A129)=YEAR(Inputs!$B$9),MONTH(A129)=MONTH(Inputs!$B$9)),Inputs!$B$8,0)</f>
        <v/>
      </c>
      <c r="M129" s="13">
        <f>O128*G129/12</f>
        <v/>
      </c>
      <c r="N129" s="13">
        <f>MIN(H129+L129,O128+M129)</f>
        <v/>
      </c>
      <c r="O129" s="13">
        <f>MAX(0,O128+M129-N129)</f>
        <v/>
      </c>
    </row>
    <row r="130">
      <c r="A130" s="11" t="n">
        <v>50010</v>
      </c>
      <c r="B130" s="15">
        <f>IF(MONTH(A130)=4,B129*(1+Inputs!$B$6),B129)</f>
        <v/>
      </c>
      <c r="C130" s="15">
        <f>IF(AND(MONTH(A130)=4,YEAR(A130)&gt;=Inputs!$B$20),C129*(1+Inputs!$B$21),C129)</f>
        <v/>
      </c>
      <c r="D130" s="15">
        <f>IF(AND(MONTH(A130)=4,YEAR(A130)&gt;=Inputs!$B$20),D129*(1+Inputs!$B$21),D129)</f>
        <v/>
      </c>
      <c r="E130" s="12">
        <f>VLOOKUP(A130,Inputs!$A$53:$C$55,2,TRUE)</f>
        <v/>
      </c>
      <c r="F130" s="12">
        <f>VLOOKUP(A130,Inputs!$A$53:$C$55,3,TRUE)</f>
        <v/>
      </c>
      <c r="G130" s="12">
        <f>MIN(F130,E130+0.03*MAX(0,MIN(1,(B130-C130)/(D130-C130))))</f>
        <v/>
      </c>
      <c r="H130" s="13">
        <f>MAX(0,0.09*(B130-C130)/12)</f>
        <v/>
      </c>
      <c r="I130" s="13">
        <f>K129*G130/12</f>
        <v/>
      </c>
      <c r="J130" s="13">
        <f>MIN(H130,K129+I130)</f>
        <v/>
      </c>
      <c r="K130" s="13">
        <f>MAX(0,K129+I130-J130)</f>
        <v/>
      </c>
      <c r="L130" s="13">
        <f>Inputs!$B$7+IF(AND(YEAR(A130)=YEAR(Inputs!$B$9),MONTH(A130)=MONTH(Inputs!$B$9)),Inputs!$B$8,0)</f>
        <v/>
      </c>
      <c r="M130" s="13">
        <f>O129*G130/12</f>
        <v/>
      </c>
      <c r="N130" s="13">
        <f>MIN(H130+L130,O129+M130)</f>
        <v/>
      </c>
      <c r="O130" s="13">
        <f>MAX(0,O129+M130-N130)</f>
        <v/>
      </c>
    </row>
    <row r="131">
      <c r="A131" s="11" t="n">
        <v>50041</v>
      </c>
      <c r="B131" s="15">
        <f>IF(MONTH(A131)=4,B130*(1+Inputs!$B$6),B130)</f>
        <v/>
      </c>
      <c r="C131" s="15">
        <f>IF(AND(MONTH(A131)=4,YEAR(A131)&gt;=Inputs!$B$20),C130*(1+Inputs!$B$21),C130)</f>
        <v/>
      </c>
      <c r="D131" s="15">
        <f>IF(AND(MONTH(A131)=4,YEAR(A131)&gt;=Inputs!$B$20),D130*(1+Inputs!$B$21),D130)</f>
        <v/>
      </c>
      <c r="E131" s="12">
        <f>VLOOKUP(A131,Inputs!$A$53:$C$55,2,TRUE)</f>
        <v/>
      </c>
      <c r="F131" s="12">
        <f>VLOOKUP(A131,Inputs!$A$53:$C$55,3,TRUE)</f>
        <v/>
      </c>
      <c r="G131" s="12">
        <f>MIN(F131,E131+0.03*MAX(0,MIN(1,(B131-C131)/(D131-C131))))</f>
        <v/>
      </c>
      <c r="H131" s="13">
        <f>MAX(0,0.09*(B131-C131)/12)</f>
        <v/>
      </c>
      <c r="I131" s="13">
        <f>K130*G131/12</f>
        <v/>
      </c>
      <c r="J131" s="13">
        <f>MIN(H131,K130+I131)</f>
        <v/>
      </c>
      <c r="K131" s="13">
        <f>MAX(0,K130+I131-J131)</f>
        <v/>
      </c>
      <c r="L131" s="13">
        <f>Inputs!$B$7+IF(AND(YEAR(A131)=YEAR(Inputs!$B$9),MONTH(A131)=MONTH(Inputs!$B$9)),Inputs!$B$8,0)</f>
        <v/>
      </c>
      <c r="M131" s="13">
        <f>O130*G131/12</f>
        <v/>
      </c>
      <c r="N131" s="13">
        <f>MIN(H131+L131,O130+M131)</f>
        <v/>
      </c>
      <c r="O131" s="13">
        <f>MAX(0,O130+M131-N131)</f>
        <v/>
      </c>
    </row>
    <row r="132">
      <c r="A132" s="11" t="n">
        <v>50072</v>
      </c>
      <c r="B132" s="15">
        <f>IF(MONTH(A132)=4,B131*(1+Inputs!$B$6),B131)</f>
        <v/>
      </c>
      <c r="C132" s="15">
        <f>IF(AND(MONTH(A132)=4,YEAR(A132)&gt;=Inputs!$B$20),C131*(1+Inputs!$B$21),C131)</f>
        <v/>
      </c>
      <c r="D132" s="15">
        <f>IF(AND(MONTH(A132)=4,YEAR(A132)&gt;=Inputs!$B$20),D131*(1+Inputs!$B$21),D131)</f>
        <v/>
      </c>
      <c r="E132" s="12">
        <f>VLOOKUP(A132,Inputs!$A$53:$C$55,2,TRUE)</f>
        <v/>
      </c>
      <c r="F132" s="12">
        <f>VLOOKUP(A132,Inputs!$A$53:$C$55,3,TRUE)</f>
        <v/>
      </c>
      <c r="G132" s="12">
        <f>MIN(F132,E132+0.03*MAX(0,MIN(1,(B132-C132)/(D132-C132))))</f>
        <v/>
      </c>
      <c r="H132" s="13">
        <f>MAX(0,0.09*(B132-C132)/12)</f>
        <v/>
      </c>
      <c r="I132" s="13">
        <f>K131*G132/12</f>
        <v/>
      </c>
      <c r="J132" s="13">
        <f>MIN(H132,K131+I132)</f>
        <v/>
      </c>
      <c r="K132" s="13">
        <f>MAX(0,K131+I132-J132)</f>
        <v/>
      </c>
      <c r="L132" s="13">
        <f>Inputs!$B$7+IF(AND(YEAR(A132)=YEAR(Inputs!$B$9),MONTH(A132)=MONTH(Inputs!$B$9)),Inputs!$B$8,0)</f>
        <v/>
      </c>
      <c r="M132" s="13">
        <f>O131*G132/12</f>
        <v/>
      </c>
      <c r="N132" s="13">
        <f>MIN(H132+L132,O131+M132)</f>
        <v/>
      </c>
      <c r="O132" s="13">
        <f>MAX(0,O131+M132-N132)</f>
        <v/>
      </c>
    </row>
    <row r="133">
      <c r="A133" s="11" t="n">
        <v>50100</v>
      </c>
      <c r="B133" s="15">
        <f>IF(MONTH(A133)=4,B132*(1+Inputs!$B$6),B132)</f>
        <v/>
      </c>
      <c r="C133" s="15">
        <f>IF(AND(MONTH(A133)=4,YEAR(A133)&gt;=Inputs!$B$20),C132*(1+Inputs!$B$21),C132)</f>
        <v/>
      </c>
      <c r="D133" s="15">
        <f>IF(AND(MONTH(A133)=4,YEAR(A133)&gt;=Inputs!$B$20),D132*(1+Inputs!$B$21),D132)</f>
        <v/>
      </c>
      <c r="E133" s="12">
        <f>VLOOKUP(A133,Inputs!$A$53:$C$55,2,TRUE)</f>
        <v/>
      </c>
      <c r="F133" s="12">
        <f>VLOOKUP(A133,Inputs!$A$53:$C$55,3,TRUE)</f>
        <v/>
      </c>
      <c r="G133" s="12">
        <f>MIN(F133,E133+0.03*MAX(0,MIN(1,(B133-C133)/(D133-C133))))</f>
        <v/>
      </c>
      <c r="H133" s="13">
        <f>MAX(0,0.09*(B133-C133)/12)</f>
        <v/>
      </c>
      <c r="I133" s="13">
        <f>K132*G133/12</f>
        <v/>
      </c>
      <c r="J133" s="13">
        <f>MIN(H133,K132+I133)</f>
        <v/>
      </c>
      <c r="K133" s="13">
        <f>MAX(0,K132+I133-J133)</f>
        <v/>
      </c>
      <c r="L133" s="13">
        <f>Inputs!$B$7+IF(AND(YEAR(A133)=YEAR(Inputs!$B$9),MONTH(A133)=MONTH(Inputs!$B$9)),Inputs!$B$8,0)</f>
        <v/>
      </c>
      <c r="M133" s="13">
        <f>O132*G133/12</f>
        <v/>
      </c>
      <c r="N133" s="13">
        <f>MIN(H133+L133,O132+M133)</f>
        <v/>
      </c>
      <c r="O133" s="13">
        <f>MAX(0,O132+M133-N133)</f>
        <v/>
      </c>
    </row>
    <row r="134">
      <c r="A134" s="11" t="n">
        <v>50131</v>
      </c>
      <c r="B134" s="15">
        <f>IF(MONTH(A134)=4,B133*(1+Inputs!$B$6),B133)</f>
        <v/>
      </c>
      <c r="C134" s="15">
        <f>IF(AND(MONTH(A134)=4,YEAR(A134)&gt;=Inputs!$B$20),C133*(1+Inputs!$B$21),C133)</f>
        <v/>
      </c>
      <c r="D134" s="15">
        <f>IF(AND(MONTH(A134)=4,YEAR(A134)&gt;=Inputs!$B$20),D133*(1+Inputs!$B$21),D133)</f>
        <v/>
      </c>
      <c r="E134" s="12">
        <f>VLOOKUP(A134,Inputs!$A$53:$C$55,2,TRUE)</f>
        <v/>
      </c>
      <c r="F134" s="12">
        <f>VLOOKUP(A134,Inputs!$A$53:$C$55,3,TRUE)</f>
        <v/>
      </c>
      <c r="G134" s="12">
        <f>MIN(F134,E134+0.03*MAX(0,MIN(1,(B134-C134)/(D134-C134))))</f>
        <v/>
      </c>
      <c r="H134" s="13">
        <f>MAX(0,0.09*(B134-C134)/12)</f>
        <v/>
      </c>
      <c r="I134" s="13">
        <f>K133*G134/12</f>
        <v/>
      </c>
      <c r="J134" s="13">
        <f>MIN(H134,K133+I134)</f>
        <v/>
      </c>
      <c r="K134" s="13">
        <f>MAX(0,K133+I134-J134)</f>
        <v/>
      </c>
      <c r="L134" s="13">
        <f>Inputs!$B$7+IF(AND(YEAR(A134)=YEAR(Inputs!$B$9),MONTH(A134)=MONTH(Inputs!$B$9)),Inputs!$B$8,0)</f>
        <v/>
      </c>
      <c r="M134" s="13">
        <f>O133*G134/12</f>
        <v/>
      </c>
      <c r="N134" s="13">
        <f>MIN(H134+L134,O133+M134)</f>
        <v/>
      </c>
      <c r="O134" s="13">
        <f>MAX(0,O133+M134-N134)</f>
        <v/>
      </c>
    </row>
    <row r="135">
      <c r="A135" s="11" t="n">
        <v>50161</v>
      </c>
      <c r="B135" s="15">
        <f>IF(MONTH(A135)=4,B134*(1+Inputs!$B$6),B134)</f>
        <v/>
      </c>
      <c r="C135" s="15">
        <f>IF(AND(MONTH(A135)=4,YEAR(A135)&gt;=Inputs!$B$20),C134*(1+Inputs!$B$21),C134)</f>
        <v/>
      </c>
      <c r="D135" s="15">
        <f>IF(AND(MONTH(A135)=4,YEAR(A135)&gt;=Inputs!$B$20),D134*(1+Inputs!$B$21),D134)</f>
        <v/>
      </c>
      <c r="E135" s="12">
        <f>VLOOKUP(A135,Inputs!$A$53:$C$55,2,TRUE)</f>
        <v/>
      </c>
      <c r="F135" s="12">
        <f>VLOOKUP(A135,Inputs!$A$53:$C$55,3,TRUE)</f>
        <v/>
      </c>
      <c r="G135" s="12">
        <f>MIN(F135,E135+0.03*MAX(0,MIN(1,(B135-C135)/(D135-C135))))</f>
        <v/>
      </c>
      <c r="H135" s="13">
        <f>MAX(0,0.09*(B135-C135)/12)</f>
        <v/>
      </c>
      <c r="I135" s="13">
        <f>K134*G135/12</f>
        <v/>
      </c>
      <c r="J135" s="13">
        <f>MIN(H135,K134+I135)</f>
        <v/>
      </c>
      <c r="K135" s="13">
        <f>MAX(0,K134+I135-J135)</f>
        <v/>
      </c>
      <c r="L135" s="13">
        <f>Inputs!$B$7+IF(AND(YEAR(A135)=YEAR(Inputs!$B$9),MONTH(A135)=MONTH(Inputs!$B$9)),Inputs!$B$8,0)</f>
        <v/>
      </c>
      <c r="M135" s="13">
        <f>O134*G135/12</f>
        <v/>
      </c>
      <c r="N135" s="13">
        <f>MIN(H135+L135,O134+M135)</f>
        <v/>
      </c>
      <c r="O135" s="13">
        <f>MAX(0,O134+M135-N135)</f>
        <v/>
      </c>
    </row>
    <row r="136">
      <c r="A136" s="11" t="n">
        <v>50192</v>
      </c>
      <c r="B136" s="15">
        <f>IF(MONTH(A136)=4,B135*(1+Inputs!$B$6),B135)</f>
        <v/>
      </c>
      <c r="C136" s="15">
        <f>IF(AND(MONTH(A136)=4,YEAR(A136)&gt;=Inputs!$B$20),C135*(1+Inputs!$B$21),C135)</f>
        <v/>
      </c>
      <c r="D136" s="15">
        <f>IF(AND(MONTH(A136)=4,YEAR(A136)&gt;=Inputs!$B$20),D135*(1+Inputs!$B$21),D135)</f>
        <v/>
      </c>
      <c r="E136" s="12">
        <f>VLOOKUP(A136,Inputs!$A$53:$C$55,2,TRUE)</f>
        <v/>
      </c>
      <c r="F136" s="12">
        <f>VLOOKUP(A136,Inputs!$A$53:$C$55,3,TRUE)</f>
        <v/>
      </c>
      <c r="G136" s="12">
        <f>MIN(F136,E136+0.03*MAX(0,MIN(1,(B136-C136)/(D136-C136))))</f>
        <v/>
      </c>
      <c r="H136" s="13">
        <f>MAX(0,0.09*(B136-C136)/12)</f>
        <v/>
      </c>
      <c r="I136" s="13">
        <f>K135*G136/12</f>
        <v/>
      </c>
      <c r="J136" s="13">
        <f>MIN(H136,K135+I136)</f>
        <v/>
      </c>
      <c r="K136" s="13">
        <f>MAX(0,K135+I136-J136)</f>
        <v/>
      </c>
      <c r="L136" s="13">
        <f>Inputs!$B$7+IF(AND(YEAR(A136)=YEAR(Inputs!$B$9),MONTH(A136)=MONTH(Inputs!$B$9)),Inputs!$B$8,0)</f>
        <v/>
      </c>
      <c r="M136" s="13">
        <f>O135*G136/12</f>
        <v/>
      </c>
      <c r="N136" s="13">
        <f>MIN(H136+L136,O135+M136)</f>
        <v/>
      </c>
      <c r="O136" s="13">
        <f>MAX(0,O135+M136-N136)</f>
        <v/>
      </c>
    </row>
    <row r="137">
      <c r="A137" s="11" t="n">
        <v>50222</v>
      </c>
      <c r="B137" s="15">
        <f>IF(MONTH(A137)=4,B136*(1+Inputs!$B$6),B136)</f>
        <v/>
      </c>
      <c r="C137" s="15">
        <f>IF(AND(MONTH(A137)=4,YEAR(A137)&gt;=Inputs!$B$20),C136*(1+Inputs!$B$21),C136)</f>
        <v/>
      </c>
      <c r="D137" s="15">
        <f>IF(AND(MONTH(A137)=4,YEAR(A137)&gt;=Inputs!$B$20),D136*(1+Inputs!$B$21),D136)</f>
        <v/>
      </c>
      <c r="E137" s="12">
        <f>VLOOKUP(A137,Inputs!$A$53:$C$55,2,TRUE)</f>
        <v/>
      </c>
      <c r="F137" s="12">
        <f>VLOOKUP(A137,Inputs!$A$53:$C$55,3,TRUE)</f>
        <v/>
      </c>
      <c r="G137" s="12">
        <f>MIN(F137,E137+0.03*MAX(0,MIN(1,(B137-C137)/(D137-C137))))</f>
        <v/>
      </c>
      <c r="H137" s="13">
        <f>MAX(0,0.09*(B137-C137)/12)</f>
        <v/>
      </c>
      <c r="I137" s="13">
        <f>K136*G137/12</f>
        <v/>
      </c>
      <c r="J137" s="13">
        <f>MIN(H137,K136+I137)</f>
        <v/>
      </c>
      <c r="K137" s="13">
        <f>MAX(0,K136+I137-J137)</f>
        <v/>
      </c>
      <c r="L137" s="13">
        <f>Inputs!$B$7+IF(AND(YEAR(A137)=YEAR(Inputs!$B$9),MONTH(A137)=MONTH(Inputs!$B$9)),Inputs!$B$8,0)</f>
        <v/>
      </c>
      <c r="M137" s="13">
        <f>O136*G137/12</f>
        <v/>
      </c>
      <c r="N137" s="13">
        <f>MIN(H137+L137,O136+M137)</f>
        <v/>
      </c>
      <c r="O137" s="13">
        <f>MAX(0,O136+M137-N137)</f>
        <v/>
      </c>
    </row>
    <row r="138">
      <c r="A138" s="11" t="n">
        <v>50253</v>
      </c>
      <c r="B138" s="15">
        <f>IF(MONTH(A138)=4,B137*(1+Inputs!$B$6),B137)</f>
        <v/>
      </c>
      <c r="C138" s="15">
        <f>IF(AND(MONTH(A138)=4,YEAR(A138)&gt;=Inputs!$B$20),C137*(1+Inputs!$B$21),C137)</f>
        <v/>
      </c>
      <c r="D138" s="15">
        <f>IF(AND(MONTH(A138)=4,YEAR(A138)&gt;=Inputs!$B$20),D137*(1+Inputs!$B$21),D137)</f>
        <v/>
      </c>
      <c r="E138" s="12">
        <f>VLOOKUP(A138,Inputs!$A$53:$C$55,2,TRUE)</f>
        <v/>
      </c>
      <c r="F138" s="12">
        <f>VLOOKUP(A138,Inputs!$A$53:$C$55,3,TRUE)</f>
        <v/>
      </c>
      <c r="G138" s="12">
        <f>MIN(F138,E138+0.03*MAX(0,MIN(1,(B138-C138)/(D138-C138))))</f>
        <v/>
      </c>
      <c r="H138" s="13">
        <f>MAX(0,0.09*(B138-C138)/12)</f>
        <v/>
      </c>
      <c r="I138" s="13">
        <f>K137*G138/12</f>
        <v/>
      </c>
      <c r="J138" s="13">
        <f>MIN(H138,K137+I138)</f>
        <v/>
      </c>
      <c r="K138" s="13">
        <f>MAX(0,K137+I138-J138)</f>
        <v/>
      </c>
      <c r="L138" s="13">
        <f>Inputs!$B$7+IF(AND(YEAR(A138)=YEAR(Inputs!$B$9),MONTH(A138)=MONTH(Inputs!$B$9)),Inputs!$B$8,0)</f>
        <v/>
      </c>
      <c r="M138" s="13">
        <f>O137*G138/12</f>
        <v/>
      </c>
      <c r="N138" s="13">
        <f>MIN(H138+L138,O137+M138)</f>
        <v/>
      </c>
      <c r="O138" s="13">
        <f>MAX(0,O137+M138-N138)</f>
        <v/>
      </c>
    </row>
    <row r="139">
      <c r="A139" s="11" t="n">
        <v>50284</v>
      </c>
      <c r="B139" s="15">
        <f>IF(MONTH(A139)=4,B138*(1+Inputs!$B$6),B138)</f>
        <v/>
      </c>
      <c r="C139" s="15">
        <f>IF(AND(MONTH(A139)=4,YEAR(A139)&gt;=Inputs!$B$20),C138*(1+Inputs!$B$21),C138)</f>
        <v/>
      </c>
      <c r="D139" s="15">
        <f>IF(AND(MONTH(A139)=4,YEAR(A139)&gt;=Inputs!$B$20),D138*(1+Inputs!$B$21),D138)</f>
        <v/>
      </c>
      <c r="E139" s="12">
        <f>VLOOKUP(A139,Inputs!$A$53:$C$55,2,TRUE)</f>
        <v/>
      </c>
      <c r="F139" s="12">
        <f>VLOOKUP(A139,Inputs!$A$53:$C$55,3,TRUE)</f>
        <v/>
      </c>
      <c r="G139" s="12">
        <f>MIN(F139,E139+0.03*MAX(0,MIN(1,(B139-C139)/(D139-C139))))</f>
        <v/>
      </c>
      <c r="H139" s="13">
        <f>MAX(0,0.09*(B139-C139)/12)</f>
        <v/>
      </c>
      <c r="I139" s="13">
        <f>K138*G139/12</f>
        <v/>
      </c>
      <c r="J139" s="13">
        <f>MIN(H139,K138+I139)</f>
        <v/>
      </c>
      <c r="K139" s="13">
        <f>MAX(0,K138+I139-J139)</f>
        <v/>
      </c>
      <c r="L139" s="13">
        <f>Inputs!$B$7+IF(AND(YEAR(A139)=YEAR(Inputs!$B$9),MONTH(A139)=MONTH(Inputs!$B$9)),Inputs!$B$8,0)</f>
        <v/>
      </c>
      <c r="M139" s="13">
        <f>O138*G139/12</f>
        <v/>
      </c>
      <c r="N139" s="13">
        <f>MIN(H139+L139,O138+M139)</f>
        <v/>
      </c>
      <c r="O139" s="13">
        <f>MAX(0,O138+M139-N139)</f>
        <v/>
      </c>
    </row>
    <row r="140">
      <c r="A140" s="11" t="n">
        <v>50314</v>
      </c>
      <c r="B140" s="15">
        <f>IF(MONTH(A140)=4,B139*(1+Inputs!$B$6),B139)</f>
        <v/>
      </c>
      <c r="C140" s="15">
        <f>IF(AND(MONTH(A140)=4,YEAR(A140)&gt;=Inputs!$B$20),C139*(1+Inputs!$B$21),C139)</f>
        <v/>
      </c>
      <c r="D140" s="15">
        <f>IF(AND(MONTH(A140)=4,YEAR(A140)&gt;=Inputs!$B$20),D139*(1+Inputs!$B$21),D139)</f>
        <v/>
      </c>
      <c r="E140" s="12">
        <f>VLOOKUP(A140,Inputs!$A$53:$C$55,2,TRUE)</f>
        <v/>
      </c>
      <c r="F140" s="12">
        <f>VLOOKUP(A140,Inputs!$A$53:$C$55,3,TRUE)</f>
        <v/>
      </c>
      <c r="G140" s="12">
        <f>MIN(F140,E140+0.03*MAX(0,MIN(1,(B140-C140)/(D140-C140))))</f>
        <v/>
      </c>
      <c r="H140" s="13">
        <f>MAX(0,0.09*(B140-C140)/12)</f>
        <v/>
      </c>
      <c r="I140" s="13">
        <f>K139*G140/12</f>
        <v/>
      </c>
      <c r="J140" s="13">
        <f>MIN(H140,K139+I140)</f>
        <v/>
      </c>
      <c r="K140" s="13">
        <f>MAX(0,K139+I140-J140)</f>
        <v/>
      </c>
      <c r="L140" s="13">
        <f>Inputs!$B$7+IF(AND(YEAR(A140)=YEAR(Inputs!$B$9),MONTH(A140)=MONTH(Inputs!$B$9)),Inputs!$B$8,0)</f>
        <v/>
      </c>
      <c r="M140" s="13">
        <f>O139*G140/12</f>
        <v/>
      </c>
      <c r="N140" s="13">
        <f>MIN(H140+L140,O139+M140)</f>
        <v/>
      </c>
      <c r="O140" s="13">
        <f>MAX(0,O139+M140-N140)</f>
        <v/>
      </c>
    </row>
    <row r="141">
      <c r="A141" s="11" t="n">
        <v>50345</v>
      </c>
      <c r="B141" s="15">
        <f>IF(MONTH(A141)=4,B140*(1+Inputs!$B$6),B140)</f>
        <v/>
      </c>
      <c r="C141" s="15">
        <f>IF(AND(MONTH(A141)=4,YEAR(A141)&gt;=Inputs!$B$20),C140*(1+Inputs!$B$21),C140)</f>
        <v/>
      </c>
      <c r="D141" s="15">
        <f>IF(AND(MONTH(A141)=4,YEAR(A141)&gt;=Inputs!$B$20),D140*(1+Inputs!$B$21),D140)</f>
        <v/>
      </c>
      <c r="E141" s="12">
        <f>VLOOKUP(A141,Inputs!$A$53:$C$55,2,TRUE)</f>
        <v/>
      </c>
      <c r="F141" s="12">
        <f>VLOOKUP(A141,Inputs!$A$53:$C$55,3,TRUE)</f>
        <v/>
      </c>
      <c r="G141" s="12">
        <f>MIN(F141,E141+0.03*MAX(0,MIN(1,(B141-C141)/(D141-C141))))</f>
        <v/>
      </c>
      <c r="H141" s="13">
        <f>MAX(0,0.09*(B141-C141)/12)</f>
        <v/>
      </c>
      <c r="I141" s="13">
        <f>K140*G141/12</f>
        <v/>
      </c>
      <c r="J141" s="13">
        <f>MIN(H141,K140+I141)</f>
        <v/>
      </c>
      <c r="K141" s="13">
        <f>MAX(0,K140+I141-J141)</f>
        <v/>
      </c>
      <c r="L141" s="13">
        <f>Inputs!$B$7+IF(AND(YEAR(A141)=YEAR(Inputs!$B$9),MONTH(A141)=MONTH(Inputs!$B$9)),Inputs!$B$8,0)</f>
        <v/>
      </c>
      <c r="M141" s="13">
        <f>O140*G141/12</f>
        <v/>
      </c>
      <c r="N141" s="13">
        <f>MIN(H141+L141,O140+M141)</f>
        <v/>
      </c>
      <c r="O141" s="13">
        <f>MAX(0,O140+M141-N141)</f>
        <v/>
      </c>
    </row>
    <row r="142">
      <c r="A142" s="11" t="n">
        <v>50375</v>
      </c>
      <c r="B142" s="15">
        <f>IF(MONTH(A142)=4,B141*(1+Inputs!$B$6),B141)</f>
        <v/>
      </c>
      <c r="C142" s="15">
        <f>IF(AND(MONTH(A142)=4,YEAR(A142)&gt;=Inputs!$B$20),C141*(1+Inputs!$B$21),C141)</f>
        <v/>
      </c>
      <c r="D142" s="15">
        <f>IF(AND(MONTH(A142)=4,YEAR(A142)&gt;=Inputs!$B$20),D141*(1+Inputs!$B$21),D141)</f>
        <v/>
      </c>
      <c r="E142" s="12">
        <f>VLOOKUP(A142,Inputs!$A$53:$C$55,2,TRUE)</f>
        <v/>
      </c>
      <c r="F142" s="12">
        <f>VLOOKUP(A142,Inputs!$A$53:$C$55,3,TRUE)</f>
        <v/>
      </c>
      <c r="G142" s="12">
        <f>MIN(F142,E142+0.03*MAX(0,MIN(1,(B142-C142)/(D142-C142))))</f>
        <v/>
      </c>
      <c r="H142" s="13">
        <f>MAX(0,0.09*(B142-C142)/12)</f>
        <v/>
      </c>
      <c r="I142" s="13">
        <f>K141*G142/12</f>
        <v/>
      </c>
      <c r="J142" s="13">
        <f>MIN(H142,K141+I142)</f>
        <v/>
      </c>
      <c r="K142" s="13">
        <f>MAX(0,K141+I142-J142)</f>
        <v/>
      </c>
      <c r="L142" s="13">
        <f>Inputs!$B$7+IF(AND(YEAR(A142)=YEAR(Inputs!$B$9),MONTH(A142)=MONTH(Inputs!$B$9)),Inputs!$B$8,0)</f>
        <v/>
      </c>
      <c r="M142" s="13">
        <f>O141*G142/12</f>
        <v/>
      </c>
      <c r="N142" s="13">
        <f>MIN(H142+L142,O141+M142)</f>
        <v/>
      </c>
      <c r="O142" s="13">
        <f>MAX(0,O141+M142-N142)</f>
        <v/>
      </c>
    </row>
    <row r="143">
      <c r="A143" s="11" t="n">
        <v>50406</v>
      </c>
      <c r="B143" s="15">
        <f>IF(MONTH(A143)=4,B142*(1+Inputs!$B$6),B142)</f>
        <v/>
      </c>
      <c r="C143" s="15">
        <f>IF(AND(MONTH(A143)=4,YEAR(A143)&gt;=Inputs!$B$20),C142*(1+Inputs!$B$21),C142)</f>
        <v/>
      </c>
      <c r="D143" s="15">
        <f>IF(AND(MONTH(A143)=4,YEAR(A143)&gt;=Inputs!$B$20),D142*(1+Inputs!$B$21),D142)</f>
        <v/>
      </c>
      <c r="E143" s="12">
        <f>VLOOKUP(A143,Inputs!$A$53:$C$55,2,TRUE)</f>
        <v/>
      </c>
      <c r="F143" s="12">
        <f>VLOOKUP(A143,Inputs!$A$53:$C$55,3,TRUE)</f>
        <v/>
      </c>
      <c r="G143" s="12">
        <f>MIN(F143,E143+0.03*MAX(0,MIN(1,(B143-C143)/(D143-C143))))</f>
        <v/>
      </c>
      <c r="H143" s="13">
        <f>MAX(0,0.09*(B143-C143)/12)</f>
        <v/>
      </c>
      <c r="I143" s="13">
        <f>K142*G143/12</f>
        <v/>
      </c>
      <c r="J143" s="13">
        <f>MIN(H143,K142+I143)</f>
        <v/>
      </c>
      <c r="K143" s="13">
        <f>MAX(0,K142+I143-J143)</f>
        <v/>
      </c>
      <c r="L143" s="13">
        <f>Inputs!$B$7+IF(AND(YEAR(A143)=YEAR(Inputs!$B$9),MONTH(A143)=MONTH(Inputs!$B$9)),Inputs!$B$8,0)</f>
        <v/>
      </c>
      <c r="M143" s="13">
        <f>O142*G143/12</f>
        <v/>
      </c>
      <c r="N143" s="13">
        <f>MIN(H143+L143,O142+M143)</f>
        <v/>
      </c>
      <c r="O143" s="13">
        <f>MAX(0,O142+M143-N143)</f>
        <v/>
      </c>
    </row>
    <row r="144">
      <c r="A144" s="11" t="n">
        <v>50437</v>
      </c>
      <c r="B144" s="15">
        <f>IF(MONTH(A144)=4,B143*(1+Inputs!$B$6),B143)</f>
        <v/>
      </c>
      <c r="C144" s="15">
        <f>IF(AND(MONTH(A144)=4,YEAR(A144)&gt;=Inputs!$B$20),C143*(1+Inputs!$B$21),C143)</f>
        <v/>
      </c>
      <c r="D144" s="15">
        <f>IF(AND(MONTH(A144)=4,YEAR(A144)&gt;=Inputs!$B$20),D143*(1+Inputs!$B$21),D143)</f>
        <v/>
      </c>
      <c r="E144" s="12">
        <f>VLOOKUP(A144,Inputs!$A$53:$C$55,2,TRUE)</f>
        <v/>
      </c>
      <c r="F144" s="12">
        <f>VLOOKUP(A144,Inputs!$A$53:$C$55,3,TRUE)</f>
        <v/>
      </c>
      <c r="G144" s="12">
        <f>MIN(F144,E144+0.03*MAX(0,MIN(1,(B144-C144)/(D144-C144))))</f>
        <v/>
      </c>
      <c r="H144" s="13">
        <f>MAX(0,0.09*(B144-C144)/12)</f>
        <v/>
      </c>
      <c r="I144" s="13">
        <f>K143*G144/12</f>
        <v/>
      </c>
      <c r="J144" s="13">
        <f>MIN(H144,K143+I144)</f>
        <v/>
      </c>
      <c r="K144" s="13">
        <f>MAX(0,K143+I144-J144)</f>
        <v/>
      </c>
      <c r="L144" s="13">
        <f>Inputs!$B$7+IF(AND(YEAR(A144)=YEAR(Inputs!$B$9),MONTH(A144)=MONTH(Inputs!$B$9)),Inputs!$B$8,0)</f>
        <v/>
      </c>
      <c r="M144" s="13">
        <f>O143*G144/12</f>
        <v/>
      </c>
      <c r="N144" s="13">
        <f>MIN(H144+L144,O143+M144)</f>
        <v/>
      </c>
      <c r="O144" s="13">
        <f>MAX(0,O143+M144-N144)</f>
        <v/>
      </c>
    </row>
    <row r="145">
      <c r="A145" s="11" t="n">
        <v>50465</v>
      </c>
      <c r="B145" s="15">
        <f>IF(MONTH(A145)=4,B144*(1+Inputs!$B$6),B144)</f>
        <v/>
      </c>
      <c r="C145" s="15">
        <f>IF(AND(MONTH(A145)=4,YEAR(A145)&gt;=Inputs!$B$20),C144*(1+Inputs!$B$21),C144)</f>
        <v/>
      </c>
      <c r="D145" s="15">
        <f>IF(AND(MONTH(A145)=4,YEAR(A145)&gt;=Inputs!$B$20),D144*(1+Inputs!$B$21),D144)</f>
        <v/>
      </c>
      <c r="E145" s="12">
        <f>VLOOKUP(A145,Inputs!$A$53:$C$55,2,TRUE)</f>
        <v/>
      </c>
      <c r="F145" s="12">
        <f>VLOOKUP(A145,Inputs!$A$53:$C$55,3,TRUE)</f>
        <v/>
      </c>
      <c r="G145" s="12">
        <f>MIN(F145,E145+0.03*MAX(0,MIN(1,(B145-C145)/(D145-C145))))</f>
        <v/>
      </c>
      <c r="H145" s="13">
        <f>MAX(0,0.09*(B145-C145)/12)</f>
        <v/>
      </c>
      <c r="I145" s="13">
        <f>K144*G145/12</f>
        <v/>
      </c>
      <c r="J145" s="13">
        <f>MIN(H145,K144+I145)</f>
        <v/>
      </c>
      <c r="K145" s="13">
        <f>MAX(0,K144+I145-J145)</f>
        <v/>
      </c>
      <c r="L145" s="13">
        <f>Inputs!$B$7+IF(AND(YEAR(A145)=YEAR(Inputs!$B$9),MONTH(A145)=MONTH(Inputs!$B$9)),Inputs!$B$8,0)</f>
        <v/>
      </c>
      <c r="M145" s="13">
        <f>O144*G145/12</f>
        <v/>
      </c>
      <c r="N145" s="13">
        <f>MIN(H145+L145,O144+M145)</f>
        <v/>
      </c>
      <c r="O145" s="13">
        <f>MAX(0,O144+M145-N145)</f>
        <v/>
      </c>
    </row>
    <row r="146">
      <c r="A146" s="11" t="n">
        <v>50496</v>
      </c>
      <c r="B146" s="15">
        <f>IF(MONTH(A146)=4,B145*(1+Inputs!$B$6),B145)</f>
        <v/>
      </c>
      <c r="C146" s="15">
        <f>IF(AND(MONTH(A146)=4,YEAR(A146)&gt;=Inputs!$B$20),C145*(1+Inputs!$B$21),C145)</f>
        <v/>
      </c>
      <c r="D146" s="15">
        <f>IF(AND(MONTH(A146)=4,YEAR(A146)&gt;=Inputs!$B$20),D145*(1+Inputs!$B$21),D145)</f>
        <v/>
      </c>
      <c r="E146" s="12">
        <f>VLOOKUP(A146,Inputs!$A$53:$C$55,2,TRUE)</f>
        <v/>
      </c>
      <c r="F146" s="12">
        <f>VLOOKUP(A146,Inputs!$A$53:$C$55,3,TRUE)</f>
        <v/>
      </c>
      <c r="G146" s="12">
        <f>MIN(F146,E146+0.03*MAX(0,MIN(1,(B146-C146)/(D146-C146))))</f>
        <v/>
      </c>
      <c r="H146" s="13">
        <f>MAX(0,0.09*(B146-C146)/12)</f>
        <v/>
      </c>
      <c r="I146" s="13">
        <f>K145*G146/12</f>
        <v/>
      </c>
      <c r="J146" s="13">
        <f>MIN(H146,K145+I146)</f>
        <v/>
      </c>
      <c r="K146" s="13">
        <f>MAX(0,K145+I146-J146)</f>
        <v/>
      </c>
      <c r="L146" s="13">
        <f>Inputs!$B$7+IF(AND(YEAR(A146)=YEAR(Inputs!$B$9),MONTH(A146)=MONTH(Inputs!$B$9)),Inputs!$B$8,0)</f>
        <v/>
      </c>
      <c r="M146" s="13">
        <f>O145*G146/12</f>
        <v/>
      </c>
      <c r="N146" s="13">
        <f>MIN(H146+L146,O145+M146)</f>
        <v/>
      </c>
      <c r="O146" s="13">
        <f>MAX(0,O145+M146-N146)</f>
        <v/>
      </c>
    </row>
    <row r="147">
      <c r="A147" s="11" t="n">
        <v>50526</v>
      </c>
      <c r="B147" s="15">
        <f>IF(MONTH(A147)=4,B146*(1+Inputs!$B$6),B146)</f>
        <v/>
      </c>
      <c r="C147" s="15">
        <f>IF(AND(MONTH(A147)=4,YEAR(A147)&gt;=Inputs!$B$20),C146*(1+Inputs!$B$21),C146)</f>
        <v/>
      </c>
      <c r="D147" s="15">
        <f>IF(AND(MONTH(A147)=4,YEAR(A147)&gt;=Inputs!$B$20),D146*(1+Inputs!$B$21),D146)</f>
        <v/>
      </c>
      <c r="E147" s="12">
        <f>VLOOKUP(A147,Inputs!$A$53:$C$55,2,TRUE)</f>
        <v/>
      </c>
      <c r="F147" s="12">
        <f>VLOOKUP(A147,Inputs!$A$53:$C$55,3,TRUE)</f>
        <v/>
      </c>
      <c r="G147" s="12">
        <f>MIN(F147,E147+0.03*MAX(0,MIN(1,(B147-C147)/(D147-C147))))</f>
        <v/>
      </c>
      <c r="H147" s="13">
        <f>MAX(0,0.09*(B147-C147)/12)</f>
        <v/>
      </c>
      <c r="I147" s="13">
        <f>K146*G147/12</f>
        <v/>
      </c>
      <c r="J147" s="13">
        <f>MIN(H147,K146+I147)</f>
        <v/>
      </c>
      <c r="K147" s="13">
        <f>MAX(0,K146+I147-J147)</f>
        <v/>
      </c>
      <c r="L147" s="13">
        <f>Inputs!$B$7+IF(AND(YEAR(A147)=YEAR(Inputs!$B$9),MONTH(A147)=MONTH(Inputs!$B$9)),Inputs!$B$8,0)</f>
        <v/>
      </c>
      <c r="M147" s="13">
        <f>O146*G147/12</f>
        <v/>
      </c>
      <c r="N147" s="13">
        <f>MIN(H147+L147,O146+M147)</f>
        <v/>
      </c>
      <c r="O147" s="13">
        <f>MAX(0,O146+M147-N147)</f>
        <v/>
      </c>
    </row>
    <row r="148">
      <c r="A148" s="11" t="n">
        <v>50557</v>
      </c>
      <c r="B148" s="15">
        <f>IF(MONTH(A148)=4,B147*(1+Inputs!$B$6),B147)</f>
        <v/>
      </c>
      <c r="C148" s="15">
        <f>IF(AND(MONTH(A148)=4,YEAR(A148)&gt;=Inputs!$B$20),C147*(1+Inputs!$B$21),C147)</f>
        <v/>
      </c>
      <c r="D148" s="15">
        <f>IF(AND(MONTH(A148)=4,YEAR(A148)&gt;=Inputs!$B$20),D147*(1+Inputs!$B$21),D147)</f>
        <v/>
      </c>
      <c r="E148" s="12">
        <f>VLOOKUP(A148,Inputs!$A$53:$C$55,2,TRUE)</f>
        <v/>
      </c>
      <c r="F148" s="12">
        <f>VLOOKUP(A148,Inputs!$A$53:$C$55,3,TRUE)</f>
        <v/>
      </c>
      <c r="G148" s="12">
        <f>MIN(F148,E148+0.03*MAX(0,MIN(1,(B148-C148)/(D148-C148))))</f>
        <v/>
      </c>
      <c r="H148" s="13">
        <f>MAX(0,0.09*(B148-C148)/12)</f>
        <v/>
      </c>
      <c r="I148" s="13">
        <f>K147*G148/12</f>
        <v/>
      </c>
      <c r="J148" s="13">
        <f>MIN(H148,K147+I148)</f>
        <v/>
      </c>
      <c r="K148" s="13">
        <f>MAX(0,K147+I148-J148)</f>
        <v/>
      </c>
      <c r="L148" s="13">
        <f>Inputs!$B$7+IF(AND(YEAR(A148)=YEAR(Inputs!$B$9),MONTH(A148)=MONTH(Inputs!$B$9)),Inputs!$B$8,0)</f>
        <v/>
      </c>
      <c r="M148" s="13">
        <f>O147*G148/12</f>
        <v/>
      </c>
      <c r="N148" s="13">
        <f>MIN(H148+L148,O147+M148)</f>
        <v/>
      </c>
      <c r="O148" s="13">
        <f>MAX(0,O147+M148-N148)</f>
        <v/>
      </c>
    </row>
    <row r="149">
      <c r="A149" s="11" t="n">
        <v>50587</v>
      </c>
      <c r="B149" s="15">
        <f>IF(MONTH(A149)=4,B148*(1+Inputs!$B$6),B148)</f>
        <v/>
      </c>
      <c r="C149" s="15">
        <f>IF(AND(MONTH(A149)=4,YEAR(A149)&gt;=Inputs!$B$20),C148*(1+Inputs!$B$21),C148)</f>
        <v/>
      </c>
      <c r="D149" s="15">
        <f>IF(AND(MONTH(A149)=4,YEAR(A149)&gt;=Inputs!$B$20),D148*(1+Inputs!$B$21),D148)</f>
        <v/>
      </c>
      <c r="E149" s="12">
        <f>VLOOKUP(A149,Inputs!$A$53:$C$55,2,TRUE)</f>
        <v/>
      </c>
      <c r="F149" s="12">
        <f>VLOOKUP(A149,Inputs!$A$53:$C$55,3,TRUE)</f>
        <v/>
      </c>
      <c r="G149" s="12">
        <f>MIN(F149,E149+0.03*MAX(0,MIN(1,(B149-C149)/(D149-C149))))</f>
        <v/>
      </c>
      <c r="H149" s="13">
        <f>MAX(0,0.09*(B149-C149)/12)</f>
        <v/>
      </c>
      <c r="I149" s="13">
        <f>K148*G149/12</f>
        <v/>
      </c>
      <c r="J149" s="13">
        <f>MIN(H149,K148+I149)</f>
        <v/>
      </c>
      <c r="K149" s="13">
        <f>MAX(0,K148+I149-J149)</f>
        <v/>
      </c>
      <c r="L149" s="13">
        <f>Inputs!$B$7+IF(AND(YEAR(A149)=YEAR(Inputs!$B$9),MONTH(A149)=MONTH(Inputs!$B$9)),Inputs!$B$8,0)</f>
        <v/>
      </c>
      <c r="M149" s="13">
        <f>O148*G149/12</f>
        <v/>
      </c>
      <c r="N149" s="13">
        <f>MIN(H149+L149,O148+M149)</f>
        <v/>
      </c>
      <c r="O149" s="13">
        <f>MAX(0,O148+M149-N149)</f>
        <v/>
      </c>
    </row>
    <row r="150">
      <c r="A150" s="11" t="n">
        <v>50618</v>
      </c>
      <c r="B150" s="15">
        <f>IF(MONTH(A150)=4,B149*(1+Inputs!$B$6),B149)</f>
        <v/>
      </c>
      <c r="C150" s="15">
        <f>IF(AND(MONTH(A150)=4,YEAR(A150)&gt;=Inputs!$B$20),C149*(1+Inputs!$B$21),C149)</f>
        <v/>
      </c>
      <c r="D150" s="15">
        <f>IF(AND(MONTH(A150)=4,YEAR(A150)&gt;=Inputs!$B$20),D149*(1+Inputs!$B$21),D149)</f>
        <v/>
      </c>
      <c r="E150" s="12">
        <f>VLOOKUP(A150,Inputs!$A$53:$C$55,2,TRUE)</f>
        <v/>
      </c>
      <c r="F150" s="12">
        <f>VLOOKUP(A150,Inputs!$A$53:$C$55,3,TRUE)</f>
        <v/>
      </c>
      <c r="G150" s="12">
        <f>MIN(F150,E150+0.03*MAX(0,MIN(1,(B150-C150)/(D150-C150))))</f>
        <v/>
      </c>
      <c r="H150" s="13">
        <f>MAX(0,0.09*(B150-C150)/12)</f>
        <v/>
      </c>
      <c r="I150" s="13">
        <f>K149*G150/12</f>
        <v/>
      </c>
      <c r="J150" s="13">
        <f>MIN(H150,K149+I150)</f>
        <v/>
      </c>
      <c r="K150" s="13">
        <f>MAX(0,K149+I150-J150)</f>
        <v/>
      </c>
      <c r="L150" s="13">
        <f>Inputs!$B$7+IF(AND(YEAR(A150)=YEAR(Inputs!$B$9),MONTH(A150)=MONTH(Inputs!$B$9)),Inputs!$B$8,0)</f>
        <v/>
      </c>
      <c r="M150" s="13">
        <f>O149*G150/12</f>
        <v/>
      </c>
      <c r="N150" s="13">
        <f>MIN(H150+L150,O149+M150)</f>
        <v/>
      </c>
      <c r="O150" s="13">
        <f>MAX(0,O149+M150-N150)</f>
        <v/>
      </c>
    </row>
    <row r="151">
      <c r="A151" s="11" t="n">
        <v>50649</v>
      </c>
      <c r="B151" s="15">
        <f>IF(MONTH(A151)=4,B150*(1+Inputs!$B$6),B150)</f>
        <v/>
      </c>
      <c r="C151" s="15">
        <f>IF(AND(MONTH(A151)=4,YEAR(A151)&gt;=Inputs!$B$20),C150*(1+Inputs!$B$21),C150)</f>
        <v/>
      </c>
      <c r="D151" s="15">
        <f>IF(AND(MONTH(A151)=4,YEAR(A151)&gt;=Inputs!$B$20),D150*(1+Inputs!$B$21),D150)</f>
        <v/>
      </c>
      <c r="E151" s="12">
        <f>VLOOKUP(A151,Inputs!$A$53:$C$55,2,TRUE)</f>
        <v/>
      </c>
      <c r="F151" s="12">
        <f>VLOOKUP(A151,Inputs!$A$53:$C$55,3,TRUE)</f>
        <v/>
      </c>
      <c r="G151" s="12">
        <f>MIN(F151,E151+0.03*MAX(0,MIN(1,(B151-C151)/(D151-C151))))</f>
        <v/>
      </c>
      <c r="H151" s="13">
        <f>MAX(0,0.09*(B151-C151)/12)</f>
        <v/>
      </c>
      <c r="I151" s="13">
        <f>K150*G151/12</f>
        <v/>
      </c>
      <c r="J151" s="13">
        <f>MIN(H151,K150+I151)</f>
        <v/>
      </c>
      <c r="K151" s="13">
        <f>MAX(0,K150+I151-J151)</f>
        <v/>
      </c>
      <c r="L151" s="13">
        <f>Inputs!$B$7+IF(AND(YEAR(A151)=YEAR(Inputs!$B$9),MONTH(A151)=MONTH(Inputs!$B$9)),Inputs!$B$8,0)</f>
        <v/>
      </c>
      <c r="M151" s="13">
        <f>O150*G151/12</f>
        <v/>
      </c>
      <c r="N151" s="13">
        <f>MIN(H151+L151,O150+M151)</f>
        <v/>
      </c>
      <c r="O151" s="13">
        <f>MAX(0,O150+M151-N151)</f>
        <v/>
      </c>
    </row>
    <row r="152">
      <c r="A152" s="11" t="n">
        <v>50679</v>
      </c>
      <c r="B152" s="15">
        <f>IF(MONTH(A152)=4,B151*(1+Inputs!$B$6),B151)</f>
        <v/>
      </c>
      <c r="C152" s="15">
        <f>IF(AND(MONTH(A152)=4,YEAR(A152)&gt;=Inputs!$B$20),C151*(1+Inputs!$B$21),C151)</f>
        <v/>
      </c>
      <c r="D152" s="15">
        <f>IF(AND(MONTH(A152)=4,YEAR(A152)&gt;=Inputs!$B$20),D151*(1+Inputs!$B$21),D151)</f>
        <v/>
      </c>
      <c r="E152" s="12">
        <f>VLOOKUP(A152,Inputs!$A$53:$C$55,2,TRUE)</f>
        <v/>
      </c>
      <c r="F152" s="12">
        <f>VLOOKUP(A152,Inputs!$A$53:$C$55,3,TRUE)</f>
        <v/>
      </c>
      <c r="G152" s="12">
        <f>MIN(F152,E152+0.03*MAX(0,MIN(1,(B152-C152)/(D152-C152))))</f>
        <v/>
      </c>
      <c r="H152" s="13">
        <f>MAX(0,0.09*(B152-C152)/12)</f>
        <v/>
      </c>
      <c r="I152" s="13">
        <f>K151*G152/12</f>
        <v/>
      </c>
      <c r="J152" s="13">
        <f>MIN(H152,K151+I152)</f>
        <v/>
      </c>
      <c r="K152" s="13">
        <f>MAX(0,K151+I152-J152)</f>
        <v/>
      </c>
      <c r="L152" s="13">
        <f>Inputs!$B$7+IF(AND(YEAR(A152)=YEAR(Inputs!$B$9),MONTH(A152)=MONTH(Inputs!$B$9)),Inputs!$B$8,0)</f>
        <v/>
      </c>
      <c r="M152" s="13">
        <f>O151*G152/12</f>
        <v/>
      </c>
      <c r="N152" s="13">
        <f>MIN(H152+L152,O151+M152)</f>
        <v/>
      </c>
      <c r="O152" s="13">
        <f>MAX(0,O151+M152-N152)</f>
        <v/>
      </c>
    </row>
    <row r="153">
      <c r="A153" s="11" t="n">
        <v>50710</v>
      </c>
      <c r="B153" s="15">
        <f>IF(MONTH(A153)=4,B152*(1+Inputs!$B$6),B152)</f>
        <v/>
      </c>
      <c r="C153" s="15">
        <f>IF(AND(MONTH(A153)=4,YEAR(A153)&gt;=Inputs!$B$20),C152*(1+Inputs!$B$21),C152)</f>
        <v/>
      </c>
      <c r="D153" s="15">
        <f>IF(AND(MONTH(A153)=4,YEAR(A153)&gt;=Inputs!$B$20),D152*(1+Inputs!$B$21),D152)</f>
        <v/>
      </c>
      <c r="E153" s="12">
        <f>VLOOKUP(A153,Inputs!$A$53:$C$55,2,TRUE)</f>
        <v/>
      </c>
      <c r="F153" s="12">
        <f>VLOOKUP(A153,Inputs!$A$53:$C$55,3,TRUE)</f>
        <v/>
      </c>
      <c r="G153" s="12">
        <f>MIN(F153,E153+0.03*MAX(0,MIN(1,(B153-C153)/(D153-C153))))</f>
        <v/>
      </c>
      <c r="H153" s="13">
        <f>MAX(0,0.09*(B153-C153)/12)</f>
        <v/>
      </c>
      <c r="I153" s="13">
        <f>K152*G153/12</f>
        <v/>
      </c>
      <c r="J153" s="13">
        <f>MIN(H153,K152+I153)</f>
        <v/>
      </c>
      <c r="K153" s="13">
        <f>MAX(0,K152+I153-J153)</f>
        <v/>
      </c>
      <c r="L153" s="13">
        <f>Inputs!$B$7+IF(AND(YEAR(A153)=YEAR(Inputs!$B$9),MONTH(A153)=MONTH(Inputs!$B$9)),Inputs!$B$8,0)</f>
        <v/>
      </c>
      <c r="M153" s="13">
        <f>O152*G153/12</f>
        <v/>
      </c>
      <c r="N153" s="13">
        <f>MIN(H153+L153,O152+M153)</f>
        <v/>
      </c>
      <c r="O153" s="13">
        <f>MAX(0,O152+M153-N153)</f>
        <v/>
      </c>
    </row>
    <row r="154">
      <c r="A154" s="11" t="n">
        <v>50740</v>
      </c>
      <c r="B154" s="15">
        <f>IF(MONTH(A154)=4,B153*(1+Inputs!$B$6),B153)</f>
        <v/>
      </c>
      <c r="C154" s="15">
        <f>IF(AND(MONTH(A154)=4,YEAR(A154)&gt;=Inputs!$B$20),C153*(1+Inputs!$B$21),C153)</f>
        <v/>
      </c>
      <c r="D154" s="15">
        <f>IF(AND(MONTH(A154)=4,YEAR(A154)&gt;=Inputs!$B$20),D153*(1+Inputs!$B$21),D153)</f>
        <v/>
      </c>
      <c r="E154" s="12">
        <f>VLOOKUP(A154,Inputs!$A$53:$C$55,2,TRUE)</f>
        <v/>
      </c>
      <c r="F154" s="12">
        <f>VLOOKUP(A154,Inputs!$A$53:$C$55,3,TRUE)</f>
        <v/>
      </c>
      <c r="G154" s="12">
        <f>MIN(F154,E154+0.03*MAX(0,MIN(1,(B154-C154)/(D154-C154))))</f>
        <v/>
      </c>
      <c r="H154" s="13">
        <f>MAX(0,0.09*(B154-C154)/12)</f>
        <v/>
      </c>
      <c r="I154" s="13">
        <f>K153*G154/12</f>
        <v/>
      </c>
      <c r="J154" s="13">
        <f>MIN(H154,K153+I154)</f>
        <v/>
      </c>
      <c r="K154" s="13">
        <f>MAX(0,K153+I154-J154)</f>
        <v/>
      </c>
      <c r="L154" s="13">
        <f>Inputs!$B$7+IF(AND(YEAR(A154)=YEAR(Inputs!$B$9),MONTH(A154)=MONTH(Inputs!$B$9)),Inputs!$B$8,0)</f>
        <v/>
      </c>
      <c r="M154" s="13">
        <f>O153*G154/12</f>
        <v/>
      </c>
      <c r="N154" s="13">
        <f>MIN(H154+L154,O153+M154)</f>
        <v/>
      </c>
      <c r="O154" s="13">
        <f>MAX(0,O153+M154-N154)</f>
        <v/>
      </c>
    </row>
    <row r="155">
      <c r="A155" s="11" t="n">
        <v>50771</v>
      </c>
      <c r="B155" s="15">
        <f>IF(MONTH(A155)=4,B154*(1+Inputs!$B$6),B154)</f>
        <v/>
      </c>
      <c r="C155" s="15">
        <f>IF(AND(MONTH(A155)=4,YEAR(A155)&gt;=Inputs!$B$20),C154*(1+Inputs!$B$21),C154)</f>
        <v/>
      </c>
      <c r="D155" s="15">
        <f>IF(AND(MONTH(A155)=4,YEAR(A155)&gt;=Inputs!$B$20),D154*(1+Inputs!$B$21),D154)</f>
        <v/>
      </c>
      <c r="E155" s="12">
        <f>VLOOKUP(A155,Inputs!$A$53:$C$55,2,TRUE)</f>
        <v/>
      </c>
      <c r="F155" s="12">
        <f>VLOOKUP(A155,Inputs!$A$53:$C$55,3,TRUE)</f>
        <v/>
      </c>
      <c r="G155" s="12">
        <f>MIN(F155,E155+0.03*MAX(0,MIN(1,(B155-C155)/(D155-C155))))</f>
        <v/>
      </c>
      <c r="H155" s="13">
        <f>MAX(0,0.09*(B155-C155)/12)</f>
        <v/>
      </c>
      <c r="I155" s="13">
        <f>K154*G155/12</f>
        <v/>
      </c>
      <c r="J155" s="13">
        <f>MIN(H155,K154+I155)</f>
        <v/>
      </c>
      <c r="K155" s="13">
        <f>MAX(0,K154+I155-J155)</f>
        <v/>
      </c>
      <c r="L155" s="13">
        <f>Inputs!$B$7+IF(AND(YEAR(A155)=YEAR(Inputs!$B$9),MONTH(A155)=MONTH(Inputs!$B$9)),Inputs!$B$8,0)</f>
        <v/>
      </c>
      <c r="M155" s="13">
        <f>O154*G155/12</f>
        <v/>
      </c>
      <c r="N155" s="13">
        <f>MIN(H155+L155,O154+M155)</f>
        <v/>
      </c>
      <c r="O155" s="13">
        <f>MAX(0,O154+M155-N155)</f>
        <v/>
      </c>
    </row>
    <row r="156">
      <c r="A156" s="11" t="n">
        <v>50802</v>
      </c>
      <c r="B156" s="15">
        <f>IF(MONTH(A156)=4,B155*(1+Inputs!$B$6),B155)</f>
        <v/>
      </c>
      <c r="C156" s="15">
        <f>IF(AND(MONTH(A156)=4,YEAR(A156)&gt;=Inputs!$B$20),C155*(1+Inputs!$B$21),C155)</f>
        <v/>
      </c>
      <c r="D156" s="15">
        <f>IF(AND(MONTH(A156)=4,YEAR(A156)&gt;=Inputs!$B$20),D155*(1+Inputs!$B$21),D155)</f>
        <v/>
      </c>
      <c r="E156" s="12">
        <f>VLOOKUP(A156,Inputs!$A$53:$C$55,2,TRUE)</f>
        <v/>
      </c>
      <c r="F156" s="12">
        <f>VLOOKUP(A156,Inputs!$A$53:$C$55,3,TRUE)</f>
        <v/>
      </c>
      <c r="G156" s="12">
        <f>MIN(F156,E156+0.03*MAX(0,MIN(1,(B156-C156)/(D156-C156))))</f>
        <v/>
      </c>
      <c r="H156" s="13">
        <f>MAX(0,0.09*(B156-C156)/12)</f>
        <v/>
      </c>
      <c r="I156" s="13">
        <f>K155*G156/12</f>
        <v/>
      </c>
      <c r="J156" s="13">
        <f>MIN(H156,K155+I156)</f>
        <v/>
      </c>
      <c r="K156" s="13">
        <f>MAX(0,K155+I156-J156)</f>
        <v/>
      </c>
      <c r="L156" s="13">
        <f>Inputs!$B$7+IF(AND(YEAR(A156)=YEAR(Inputs!$B$9),MONTH(A156)=MONTH(Inputs!$B$9)),Inputs!$B$8,0)</f>
        <v/>
      </c>
      <c r="M156" s="13">
        <f>O155*G156/12</f>
        <v/>
      </c>
      <c r="N156" s="13">
        <f>MIN(H156+L156,O155+M156)</f>
        <v/>
      </c>
      <c r="O156" s="13">
        <f>MAX(0,O155+M156-N156)</f>
        <v/>
      </c>
    </row>
    <row r="157">
      <c r="A157" s="11" t="n">
        <v>50830</v>
      </c>
      <c r="B157" s="15">
        <f>IF(MONTH(A157)=4,B156*(1+Inputs!$B$6),B156)</f>
        <v/>
      </c>
      <c r="C157" s="15">
        <f>IF(AND(MONTH(A157)=4,YEAR(A157)&gt;=Inputs!$B$20),C156*(1+Inputs!$B$21),C156)</f>
        <v/>
      </c>
      <c r="D157" s="15">
        <f>IF(AND(MONTH(A157)=4,YEAR(A157)&gt;=Inputs!$B$20),D156*(1+Inputs!$B$21),D156)</f>
        <v/>
      </c>
      <c r="E157" s="12">
        <f>VLOOKUP(A157,Inputs!$A$53:$C$55,2,TRUE)</f>
        <v/>
      </c>
      <c r="F157" s="12">
        <f>VLOOKUP(A157,Inputs!$A$53:$C$55,3,TRUE)</f>
        <v/>
      </c>
      <c r="G157" s="12">
        <f>MIN(F157,E157+0.03*MAX(0,MIN(1,(B157-C157)/(D157-C157))))</f>
        <v/>
      </c>
      <c r="H157" s="13">
        <f>MAX(0,0.09*(B157-C157)/12)</f>
        <v/>
      </c>
      <c r="I157" s="13">
        <f>K156*G157/12</f>
        <v/>
      </c>
      <c r="J157" s="13">
        <f>MIN(H157,K156+I157)</f>
        <v/>
      </c>
      <c r="K157" s="13">
        <f>MAX(0,K156+I157-J157)</f>
        <v/>
      </c>
      <c r="L157" s="13">
        <f>Inputs!$B$7+IF(AND(YEAR(A157)=YEAR(Inputs!$B$9),MONTH(A157)=MONTH(Inputs!$B$9)),Inputs!$B$8,0)</f>
        <v/>
      </c>
      <c r="M157" s="13">
        <f>O156*G157/12</f>
        <v/>
      </c>
      <c r="N157" s="13">
        <f>MIN(H157+L157,O156+M157)</f>
        <v/>
      </c>
      <c r="O157" s="13">
        <f>MAX(0,O156+M157-N157)</f>
        <v/>
      </c>
    </row>
    <row r="158">
      <c r="A158" s="11" t="n">
        <v>50861</v>
      </c>
      <c r="B158" s="15">
        <f>IF(MONTH(A158)=4,B157*(1+Inputs!$B$6),B157)</f>
        <v/>
      </c>
      <c r="C158" s="15">
        <f>IF(AND(MONTH(A158)=4,YEAR(A158)&gt;=Inputs!$B$20),C157*(1+Inputs!$B$21),C157)</f>
        <v/>
      </c>
      <c r="D158" s="15">
        <f>IF(AND(MONTH(A158)=4,YEAR(A158)&gt;=Inputs!$B$20),D157*(1+Inputs!$B$21),D157)</f>
        <v/>
      </c>
      <c r="E158" s="12">
        <f>VLOOKUP(A158,Inputs!$A$53:$C$55,2,TRUE)</f>
        <v/>
      </c>
      <c r="F158" s="12">
        <f>VLOOKUP(A158,Inputs!$A$53:$C$55,3,TRUE)</f>
        <v/>
      </c>
      <c r="G158" s="12">
        <f>MIN(F158,E158+0.03*MAX(0,MIN(1,(B158-C158)/(D158-C158))))</f>
        <v/>
      </c>
      <c r="H158" s="13">
        <f>MAX(0,0.09*(B158-C158)/12)</f>
        <v/>
      </c>
      <c r="I158" s="13">
        <f>K157*G158/12</f>
        <v/>
      </c>
      <c r="J158" s="13">
        <f>MIN(H158,K157+I158)</f>
        <v/>
      </c>
      <c r="K158" s="13">
        <f>MAX(0,K157+I158-J158)</f>
        <v/>
      </c>
      <c r="L158" s="13">
        <f>Inputs!$B$7+IF(AND(YEAR(A158)=YEAR(Inputs!$B$9),MONTH(A158)=MONTH(Inputs!$B$9)),Inputs!$B$8,0)</f>
        <v/>
      </c>
      <c r="M158" s="13">
        <f>O157*G158/12</f>
        <v/>
      </c>
      <c r="N158" s="13">
        <f>MIN(H158+L158,O157+M158)</f>
        <v/>
      </c>
      <c r="O158" s="13">
        <f>MAX(0,O157+M158-N158)</f>
        <v/>
      </c>
    </row>
    <row r="159">
      <c r="A159" s="11" t="n">
        <v>50891</v>
      </c>
      <c r="B159" s="15">
        <f>IF(MONTH(A159)=4,B158*(1+Inputs!$B$6),B158)</f>
        <v/>
      </c>
      <c r="C159" s="15">
        <f>IF(AND(MONTH(A159)=4,YEAR(A159)&gt;=Inputs!$B$20),C158*(1+Inputs!$B$21),C158)</f>
        <v/>
      </c>
      <c r="D159" s="15">
        <f>IF(AND(MONTH(A159)=4,YEAR(A159)&gt;=Inputs!$B$20),D158*(1+Inputs!$B$21),D158)</f>
        <v/>
      </c>
      <c r="E159" s="12">
        <f>VLOOKUP(A159,Inputs!$A$53:$C$55,2,TRUE)</f>
        <v/>
      </c>
      <c r="F159" s="12">
        <f>VLOOKUP(A159,Inputs!$A$53:$C$55,3,TRUE)</f>
        <v/>
      </c>
      <c r="G159" s="12">
        <f>MIN(F159,E159+0.03*MAX(0,MIN(1,(B159-C159)/(D159-C159))))</f>
        <v/>
      </c>
      <c r="H159" s="13">
        <f>MAX(0,0.09*(B159-C159)/12)</f>
        <v/>
      </c>
      <c r="I159" s="13">
        <f>K158*G159/12</f>
        <v/>
      </c>
      <c r="J159" s="13">
        <f>MIN(H159,K158+I159)</f>
        <v/>
      </c>
      <c r="K159" s="13">
        <f>MAX(0,K158+I159-J159)</f>
        <v/>
      </c>
      <c r="L159" s="13">
        <f>Inputs!$B$7+IF(AND(YEAR(A159)=YEAR(Inputs!$B$9),MONTH(A159)=MONTH(Inputs!$B$9)),Inputs!$B$8,0)</f>
        <v/>
      </c>
      <c r="M159" s="13">
        <f>O158*G159/12</f>
        <v/>
      </c>
      <c r="N159" s="13">
        <f>MIN(H159+L159,O158+M159)</f>
        <v/>
      </c>
      <c r="O159" s="13">
        <f>MAX(0,O158+M159-N159)</f>
        <v/>
      </c>
    </row>
    <row r="160">
      <c r="A160" s="11" t="n">
        <v>50922</v>
      </c>
      <c r="B160" s="15">
        <f>IF(MONTH(A160)=4,B159*(1+Inputs!$B$6),B159)</f>
        <v/>
      </c>
      <c r="C160" s="15">
        <f>IF(AND(MONTH(A160)=4,YEAR(A160)&gt;=Inputs!$B$20),C159*(1+Inputs!$B$21),C159)</f>
        <v/>
      </c>
      <c r="D160" s="15">
        <f>IF(AND(MONTH(A160)=4,YEAR(A160)&gt;=Inputs!$B$20),D159*(1+Inputs!$B$21),D159)</f>
        <v/>
      </c>
      <c r="E160" s="12">
        <f>VLOOKUP(A160,Inputs!$A$53:$C$55,2,TRUE)</f>
        <v/>
      </c>
      <c r="F160" s="12">
        <f>VLOOKUP(A160,Inputs!$A$53:$C$55,3,TRUE)</f>
        <v/>
      </c>
      <c r="G160" s="12">
        <f>MIN(F160,E160+0.03*MAX(0,MIN(1,(B160-C160)/(D160-C160))))</f>
        <v/>
      </c>
      <c r="H160" s="13">
        <f>MAX(0,0.09*(B160-C160)/12)</f>
        <v/>
      </c>
      <c r="I160" s="13">
        <f>K159*G160/12</f>
        <v/>
      </c>
      <c r="J160" s="13">
        <f>MIN(H160,K159+I160)</f>
        <v/>
      </c>
      <c r="K160" s="13">
        <f>MAX(0,K159+I160-J160)</f>
        <v/>
      </c>
      <c r="L160" s="13">
        <f>Inputs!$B$7+IF(AND(YEAR(A160)=YEAR(Inputs!$B$9),MONTH(A160)=MONTH(Inputs!$B$9)),Inputs!$B$8,0)</f>
        <v/>
      </c>
      <c r="M160" s="13">
        <f>O159*G160/12</f>
        <v/>
      </c>
      <c r="N160" s="13">
        <f>MIN(H160+L160,O159+M160)</f>
        <v/>
      </c>
      <c r="O160" s="13">
        <f>MAX(0,O159+M160-N160)</f>
        <v/>
      </c>
    </row>
    <row r="161">
      <c r="A161" s="11" t="n">
        <v>50952</v>
      </c>
      <c r="B161" s="15">
        <f>IF(MONTH(A161)=4,B160*(1+Inputs!$B$6),B160)</f>
        <v/>
      </c>
      <c r="C161" s="15">
        <f>IF(AND(MONTH(A161)=4,YEAR(A161)&gt;=Inputs!$B$20),C160*(1+Inputs!$B$21),C160)</f>
        <v/>
      </c>
      <c r="D161" s="15">
        <f>IF(AND(MONTH(A161)=4,YEAR(A161)&gt;=Inputs!$B$20),D160*(1+Inputs!$B$21),D160)</f>
        <v/>
      </c>
      <c r="E161" s="12">
        <f>VLOOKUP(A161,Inputs!$A$53:$C$55,2,TRUE)</f>
        <v/>
      </c>
      <c r="F161" s="12">
        <f>VLOOKUP(A161,Inputs!$A$53:$C$55,3,TRUE)</f>
        <v/>
      </c>
      <c r="G161" s="12">
        <f>MIN(F161,E161+0.03*MAX(0,MIN(1,(B161-C161)/(D161-C161))))</f>
        <v/>
      </c>
      <c r="H161" s="13">
        <f>MAX(0,0.09*(B161-C161)/12)</f>
        <v/>
      </c>
      <c r="I161" s="13">
        <f>K160*G161/12</f>
        <v/>
      </c>
      <c r="J161" s="13">
        <f>MIN(H161,K160+I161)</f>
        <v/>
      </c>
      <c r="K161" s="13">
        <f>MAX(0,K160+I161-J161)</f>
        <v/>
      </c>
      <c r="L161" s="13">
        <f>Inputs!$B$7+IF(AND(YEAR(A161)=YEAR(Inputs!$B$9),MONTH(A161)=MONTH(Inputs!$B$9)),Inputs!$B$8,0)</f>
        <v/>
      </c>
      <c r="M161" s="13">
        <f>O160*G161/12</f>
        <v/>
      </c>
      <c r="N161" s="13">
        <f>MIN(H161+L161,O160+M161)</f>
        <v/>
      </c>
      <c r="O161" s="13">
        <f>MAX(0,O160+M161-N161)</f>
        <v/>
      </c>
    </row>
    <row r="162">
      <c r="A162" s="11" t="n">
        <v>50983</v>
      </c>
      <c r="B162" s="15">
        <f>IF(MONTH(A162)=4,B161*(1+Inputs!$B$6),B161)</f>
        <v/>
      </c>
      <c r="C162" s="15">
        <f>IF(AND(MONTH(A162)=4,YEAR(A162)&gt;=Inputs!$B$20),C161*(1+Inputs!$B$21),C161)</f>
        <v/>
      </c>
      <c r="D162" s="15">
        <f>IF(AND(MONTH(A162)=4,YEAR(A162)&gt;=Inputs!$B$20),D161*(1+Inputs!$B$21),D161)</f>
        <v/>
      </c>
      <c r="E162" s="12">
        <f>VLOOKUP(A162,Inputs!$A$53:$C$55,2,TRUE)</f>
        <v/>
      </c>
      <c r="F162" s="12">
        <f>VLOOKUP(A162,Inputs!$A$53:$C$55,3,TRUE)</f>
        <v/>
      </c>
      <c r="G162" s="12">
        <f>MIN(F162,E162+0.03*MAX(0,MIN(1,(B162-C162)/(D162-C162))))</f>
        <v/>
      </c>
      <c r="H162" s="13">
        <f>MAX(0,0.09*(B162-C162)/12)</f>
        <v/>
      </c>
      <c r="I162" s="13">
        <f>K161*G162/12</f>
        <v/>
      </c>
      <c r="J162" s="13">
        <f>MIN(H162,K161+I162)</f>
        <v/>
      </c>
      <c r="K162" s="13">
        <f>MAX(0,K161+I162-J162)</f>
        <v/>
      </c>
      <c r="L162" s="13">
        <f>Inputs!$B$7+IF(AND(YEAR(A162)=YEAR(Inputs!$B$9),MONTH(A162)=MONTH(Inputs!$B$9)),Inputs!$B$8,0)</f>
        <v/>
      </c>
      <c r="M162" s="13">
        <f>O161*G162/12</f>
        <v/>
      </c>
      <c r="N162" s="13">
        <f>MIN(H162+L162,O161+M162)</f>
        <v/>
      </c>
      <c r="O162" s="13">
        <f>MAX(0,O161+M162-N162)</f>
        <v/>
      </c>
    </row>
    <row r="163">
      <c r="A163" s="11" t="n">
        <v>51014</v>
      </c>
      <c r="B163" s="15">
        <f>IF(MONTH(A163)=4,B162*(1+Inputs!$B$6),B162)</f>
        <v/>
      </c>
      <c r="C163" s="15">
        <f>IF(AND(MONTH(A163)=4,YEAR(A163)&gt;=Inputs!$B$20),C162*(1+Inputs!$B$21),C162)</f>
        <v/>
      </c>
      <c r="D163" s="15">
        <f>IF(AND(MONTH(A163)=4,YEAR(A163)&gt;=Inputs!$B$20),D162*(1+Inputs!$B$21),D162)</f>
        <v/>
      </c>
      <c r="E163" s="12">
        <f>VLOOKUP(A163,Inputs!$A$53:$C$55,2,TRUE)</f>
        <v/>
      </c>
      <c r="F163" s="12">
        <f>VLOOKUP(A163,Inputs!$A$53:$C$55,3,TRUE)</f>
        <v/>
      </c>
      <c r="G163" s="12">
        <f>MIN(F163,E163+0.03*MAX(0,MIN(1,(B163-C163)/(D163-C163))))</f>
        <v/>
      </c>
      <c r="H163" s="13">
        <f>MAX(0,0.09*(B163-C163)/12)</f>
        <v/>
      </c>
      <c r="I163" s="13">
        <f>K162*G163/12</f>
        <v/>
      </c>
      <c r="J163" s="13">
        <f>MIN(H163,K162+I163)</f>
        <v/>
      </c>
      <c r="K163" s="13">
        <f>MAX(0,K162+I163-J163)</f>
        <v/>
      </c>
      <c r="L163" s="13">
        <f>Inputs!$B$7+IF(AND(YEAR(A163)=YEAR(Inputs!$B$9),MONTH(A163)=MONTH(Inputs!$B$9)),Inputs!$B$8,0)</f>
        <v/>
      </c>
      <c r="M163" s="13">
        <f>O162*G163/12</f>
        <v/>
      </c>
      <c r="N163" s="13">
        <f>MIN(H163+L163,O162+M163)</f>
        <v/>
      </c>
      <c r="O163" s="13">
        <f>MAX(0,O162+M163-N163)</f>
        <v/>
      </c>
    </row>
    <row r="164">
      <c r="A164" s="11" t="n">
        <v>51044</v>
      </c>
      <c r="B164" s="15">
        <f>IF(MONTH(A164)=4,B163*(1+Inputs!$B$6),B163)</f>
        <v/>
      </c>
      <c r="C164" s="15">
        <f>IF(AND(MONTH(A164)=4,YEAR(A164)&gt;=Inputs!$B$20),C163*(1+Inputs!$B$21),C163)</f>
        <v/>
      </c>
      <c r="D164" s="15">
        <f>IF(AND(MONTH(A164)=4,YEAR(A164)&gt;=Inputs!$B$20),D163*(1+Inputs!$B$21),D163)</f>
        <v/>
      </c>
      <c r="E164" s="12">
        <f>VLOOKUP(A164,Inputs!$A$53:$C$55,2,TRUE)</f>
        <v/>
      </c>
      <c r="F164" s="12">
        <f>VLOOKUP(A164,Inputs!$A$53:$C$55,3,TRUE)</f>
        <v/>
      </c>
      <c r="G164" s="12">
        <f>MIN(F164,E164+0.03*MAX(0,MIN(1,(B164-C164)/(D164-C164))))</f>
        <v/>
      </c>
      <c r="H164" s="13">
        <f>MAX(0,0.09*(B164-C164)/12)</f>
        <v/>
      </c>
      <c r="I164" s="13">
        <f>K163*G164/12</f>
        <v/>
      </c>
      <c r="J164" s="13">
        <f>MIN(H164,K163+I164)</f>
        <v/>
      </c>
      <c r="K164" s="13">
        <f>MAX(0,K163+I164-J164)</f>
        <v/>
      </c>
      <c r="L164" s="13">
        <f>Inputs!$B$7+IF(AND(YEAR(A164)=YEAR(Inputs!$B$9),MONTH(A164)=MONTH(Inputs!$B$9)),Inputs!$B$8,0)</f>
        <v/>
      </c>
      <c r="M164" s="13">
        <f>O163*G164/12</f>
        <v/>
      </c>
      <c r="N164" s="13">
        <f>MIN(H164+L164,O163+M164)</f>
        <v/>
      </c>
      <c r="O164" s="13">
        <f>MAX(0,O163+M164-N164)</f>
        <v/>
      </c>
    </row>
    <row r="165">
      <c r="A165" s="11" t="n">
        <v>51075</v>
      </c>
      <c r="B165" s="15">
        <f>IF(MONTH(A165)=4,B164*(1+Inputs!$B$6),B164)</f>
        <v/>
      </c>
      <c r="C165" s="15">
        <f>IF(AND(MONTH(A165)=4,YEAR(A165)&gt;=Inputs!$B$20),C164*(1+Inputs!$B$21),C164)</f>
        <v/>
      </c>
      <c r="D165" s="15">
        <f>IF(AND(MONTH(A165)=4,YEAR(A165)&gt;=Inputs!$B$20),D164*(1+Inputs!$B$21),D164)</f>
        <v/>
      </c>
      <c r="E165" s="12">
        <f>VLOOKUP(A165,Inputs!$A$53:$C$55,2,TRUE)</f>
        <v/>
      </c>
      <c r="F165" s="12">
        <f>VLOOKUP(A165,Inputs!$A$53:$C$55,3,TRUE)</f>
        <v/>
      </c>
      <c r="G165" s="12">
        <f>MIN(F165,E165+0.03*MAX(0,MIN(1,(B165-C165)/(D165-C165))))</f>
        <v/>
      </c>
      <c r="H165" s="13">
        <f>MAX(0,0.09*(B165-C165)/12)</f>
        <v/>
      </c>
      <c r="I165" s="13">
        <f>K164*G165/12</f>
        <v/>
      </c>
      <c r="J165" s="13">
        <f>MIN(H165,K164+I165)</f>
        <v/>
      </c>
      <c r="K165" s="13">
        <f>MAX(0,K164+I165-J165)</f>
        <v/>
      </c>
      <c r="L165" s="13">
        <f>Inputs!$B$7+IF(AND(YEAR(A165)=YEAR(Inputs!$B$9),MONTH(A165)=MONTH(Inputs!$B$9)),Inputs!$B$8,0)</f>
        <v/>
      </c>
      <c r="M165" s="13">
        <f>O164*G165/12</f>
        <v/>
      </c>
      <c r="N165" s="13">
        <f>MIN(H165+L165,O164+M165)</f>
        <v/>
      </c>
      <c r="O165" s="13">
        <f>MAX(0,O164+M165-N165)</f>
        <v/>
      </c>
    </row>
    <row r="166">
      <c r="A166" s="11" t="n">
        <v>51105</v>
      </c>
      <c r="B166" s="15">
        <f>IF(MONTH(A166)=4,B165*(1+Inputs!$B$6),B165)</f>
        <v/>
      </c>
      <c r="C166" s="15">
        <f>IF(AND(MONTH(A166)=4,YEAR(A166)&gt;=Inputs!$B$20),C165*(1+Inputs!$B$21),C165)</f>
        <v/>
      </c>
      <c r="D166" s="15">
        <f>IF(AND(MONTH(A166)=4,YEAR(A166)&gt;=Inputs!$B$20),D165*(1+Inputs!$B$21),D165)</f>
        <v/>
      </c>
      <c r="E166" s="12">
        <f>VLOOKUP(A166,Inputs!$A$53:$C$55,2,TRUE)</f>
        <v/>
      </c>
      <c r="F166" s="12">
        <f>VLOOKUP(A166,Inputs!$A$53:$C$55,3,TRUE)</f>
        <v/>
      </c>
      <c r="G166" s="12">
        <f>MIN(F166,E166+0.03*MAX(0,MIN(1,(B166-C166)/(D166-C166))))</f>
        <v/>
      </c>
      <c r="H166" s="13">
        <f>MAX(0,0.09*(B166-C166)/12)</f>
        <v/>
      </c>
      <c r="I166" s="13">
        <f>K165*G166/12</f>
        <v/>
      </c>
      <c r="J166" s="13">
        <f>MIN(H166,K165+I166)</f>
        <v/>
      </c>
      <c r="K166" s="13">
        <f>MAX(0,K165+I166-J166)</f>
        <v/>
      </c>
      <c r="L166" s="13">
        <f>Inputs!$B$7+IF(AND(YEAR(A166)=YEAR(Inputs!$B$9),MONTH(A166)=MONTH(Inputs!$B$9)),Inputs!$B$8,0)</f>
        <v/>
      </c>
      <c r="M166" s="13">
        <f>O165*G166/12</f>
        <v/>
      </c>
      <c r="N166" s="13">
        <f>MIN(H166+L166,O165+M166)</f>
        <v/>
      </c>
      <c r="O166" s="13">
        <f>MAX(0,O165+M166-N166)</f>
        <v/>
      </c>
    </row>
    <row r="167">
      <c r="A167" s="11" t="n">
        <v>51136</v>
      </c>
      <c r="B167" s="15">
        <f>IF(MONTH(A167)=4,B166*(1+Inputs!$B$6),B166)</f>
        <v/>
      </c>
      <c r="C167" s="15">
        <f>IF(AND(MONTH(A167)=4,YEAR(A167)&gt;=Inputs!$B$20),C166*(1+Inputs!$B$21),C166)</f>
        <v/>
      </c>
      <c r="D167" s="15">
        <f>IF(AND(MONTH(A167)=4,YEAR(A167)&gt;=Inputs!$B$20),D166*(1+Inputs!$B$21),D166)</f>
        <v/>
      </c>
      <c r="E167" s="12">
        <f>VLOOKUP(A167,Inputs!$A$53:$C$55,2,TRUE)</f>
        <v/>
      </c>
      <c r="F167" s="12">
        <f>VLOOKUP(A167,Inputs!$A$53:$C$55,3,TRUE)</f>
        <v/>
      </c>
      <c r="G167" s="12">
        <f>MIN(F167,E167+0.03*MAX(0,MIN(1,(B167-C167)/(D167-C167))))</f>
        <v/>
      </c>
      <c r="H167" s="13">
        <f>MAX(0,0.09*(B167-C167)/12)</f>
        <v/>
      </c>
      <c r="I167" s="13">
        <f>K166*G167/12</f>
        <v/>
      </c>
      <c r="J167" s="13">
        <f>MIN(H167,K166+I167)</f>
        <v/>
      </c>
      <c r="K167" s="13">
        <f>MAX(0,K166+I167-J167)</f>
        <v/>
      </c>
      <c r="L167" s="13">
        <f>Inputs!$B$7+IF(AND(YEAR(A167)=YEAR(Inputs!$B$9),MONTH(A167)=MONTH(Inputs!$B$9)),Inputs!$B$8,0)</f>
        <v/>
      </c>
      <c r="M167" s="13">
        <f>O166*G167/12</f>
        <v/>
      </c>
      <c r="N167" s="13">
        <f>MIN(H167+L167,O166+M167)</f>
        <v/>
      </c>
      <c r="O167" s="13">
        <f>MAX(0,O166+M167-N167)</f>
        <v/>
      </c>
    </row>
    <row r="168">
      <c r="A168" s="11" t="n">
        <v>51167</v>
      </c>
      <c r="B168" s="15">
        <f>IF(MONTH(A168)=4,B167*(1+Inputs!$B$6),B167)</f>
        <v/>
      </c>
      <c r="C168" s="15">
        <f>IF(AND(MONTH(A168)=4,YEAR(A168)&gt;=Inputs!$B$20),C167*(1+Inputs!$B$21),C167)</f>
        <v/>
      </c>
      <c r="D168" s="15">
        <f>IF(AND(MONTH(A168)=4,YEAR(A168)&gt;=Inputs!$B$20),D167*(1+Inputs!$B$21),D167)</f>
        <v/>
      </c>
      <c r="E168" s="12">
        <f>VLOOKUP(A168,Inputs!$A$53:$C$55,2,TRUE)</f>
        <v/>
      </c>
      <c r="F168" s="12">
        <f>VLOOKUP(A168,Inputs!$A$53:$C$55,3,TRUE)</f>
        <v/>
      </c>
      <c r="G168" s="12">
        <f>MIN(F168,E168+0.03*MAX(0,MIN(1,(B168-C168)/(D168-C168))))</f>
        <v/>
      </c>
      <c r="H168" s="13">
        <f>MAX(0,0.09*(B168-C168)/12)</f>
        <v/>
      </c>
      <c r="I168" s="13">
        <f>K167*G168/12</f>
        <v/>
      </c>
      <c r="J168" s="13">
        <f>MIN(H168,K167+I168)</f>
        <v/>
      </c>
      <c r="K168" s="13">
        <f>MAX(0,K167+I168-J168)</f>
        <v/>
      </c>
      <c r="L168" s="13">
        <f>Inputs!$B$7+IF(AND(YEAR(A168)=YEAR(Inputs!$B$9),MONTH(A168)=MONTH(Inputs!$B$9)),Inputs!$B$8,0)</f>
        <v/>
      </c>
      <c r="M168" s="13">
        <f>O167*G168/12</f>
        <v/>
      </c>
      <c r="N168" s="13">
        <f>MIN(H168+L168,O167+M168)</f>
        <v/>
      </c>
      <c r="O168" s="13">
        <f>MAX(0,O167+M168-N168)</f>
        <v/>
      </c>
    </row>
    <row r="169">
      <c r="A169" s="11" t="n">
        <v>51196</v>
      </c>
      <c r="B169" s="15">
        <f>IF(MONTH(A169)=4,B168*(1+Inputs!$B$6),B168)</f>
        <v/>
      </c>
      <c r="C169" s="15">
        <f>IF(AND(MONTH(A169)=4,YEAR(A169)&gt;=Inputs!$B$20),C168*(1+Inputs!$B$21),C168)</f>
        <v/>
      </c>
      <c r="D169" s="15">
        <f>IF(AND(MONTH(A169)=4,YEAR(A169)&gt;=Inputs!$B$20),D168*(1+Inputs!$B$21),D168)</f>
        <v/>
      </c>
      <c r="E169" s="12">
        <f>VLOOKUP(A169,Inputs!$A$53:$C$55,2,TRUE)</f>
        <v/>
      </c>
      <c r="F169" s="12">
        <f>VLOOKUP(A169,Inputs!$A$53:$C$55,3,TRUE)</f>
        <v/>
      </c>
      <c r="G169" s="12">
        <f>MIN(F169,E169+0.03*MAX(0,MIN(1,(B169-C169)/(D169-C169))))</f>
        <v/>
      </c>
      <c r="H169" s="13">
        <f>MAX(0,0.09*(B169-C169)/12)</f>
        <v/>
      </c>
      <c r="I169" s="13">
        <f>K168*G169/12</f>
        <v/>
      </c>
      <c r="J169" s="13">
        <f>MIN(H169,K168+I169)</f>
        <v/>
      </c>
      <c r="K169" s="13">
        <f>MAX(0,K168+I169-J169)</f>
        <v/>
      </c>
      <c r="L169" s="13">
        <f>Inputs!$B$7+IF(AND(YEAR(A169)=YEAR(Inputs!$B$9),MONTH(A169)=MONTH(Inputs!$B$9)),Inputs!$B$8,0)</f>
        <v/>
      </c>
      <c r="M169" s="13">
        <f>O168*G169/12</f>
        <v/>
      </c>
      <c r="N169" s="13">
        <f>MIN(H169+L169,O168+M169)</f>
        <v/>
      </c>
      <c r="O169" s="13">
        <f>MAX(0,O168+M169-N169)</f>
        <v/>
      </c>
    </row>
    <row r="170">
      <c r="A170" s="11" t="n">
        <v>51227</v>
      </c>
      <c r="B170" s="15">
        <f>IF(MONTH(A170)=4,B169*(1+Inputs!$B$6),B169)</f>
        <v/>
      </c>
      <c r="C170" s="15">
        <f>IF(AND(MONTH(A170)=4,YEAR(A170)&gt;=Inputs!$B$20),C169*(1+Inputs!$B$21),C169)</f>
        <v/>
      </c>
      <c r="D170" s="15">
        <f>IF(AND(MONTH(A170)=4,YEAR(A170)&gt;=Inputs!$B$20),D169*(1+Inputs!$B$21),D169)</f>
        <v/>
      </c>
      <c r="E170" s="12">
        <f>VLOOKUP(A170,Inputs!$A$53:$C$55,2,TRUE)</f>
        <v/>
      </c>
      <c r="F170" s="12">
        <f>VLOOKUP(A170,Inputs!$A$53:$C$55,3,TRUE)</f>
        <v/>
      </c>
      <c r="G170" s="12">
        <f>MIN(F170,E170+0.03*MAX(0,MIN(1,(B170-C170)/(D170-C170))))</f>
        <v/>
      </c>
      <c r="H170" s="13">
        <f>MAX(0,0.09*(B170-C170)/12)</f>
        <v/>
      </c>
      <c r="I170" s="13">
        <f>K169*G170/12</f>
        <v/>
      </c>
      <c r="J170" s="13">
        <f>MIN(H170,K169+I170)</f>
        <v/>
      </c>
      <c r="K170" s="13">
        <f>MAX(0,K169+I170-J170)</f>
        <v/>
      </c>
      <c r="L170" s="13">
        <f>Inputs!$B$7+IF(AND(YEAR(A170)=YEAR(Inputs!$B$9),MONTH(A170)=MONTH(Inputs!$B$9)),Inputs!$B$8,0)</f>
        <v/>
      </c>
      <c r="M170" s="13">
        <f>O169*G170/12</f>
        <v/>
      </c>
      <c r="N170" s="13">
        <f>MIN(H170+L170,O169+M170)</f>
        <v/>
      </c>
      <c r="O170" s="13">
        <f>MAX(0,O169+M170-N170)</f>
        <v/>
      </c>
    </row>
    <row r="171">
      <c r="A171" s="11" t="n">
        <v>51257</v>
      </c>
      <c r="B171" s="15">
        <f>IF(MONTH(A171)=4,B170*(1+Inputs!$B$6),B170)</f>
        <v/>
      </c>
      <c r="C171" s="15">
        <f>IF(AND(MONTH(A171)=4,YEAR(A171)&gt;=Inputs!$B$20),C170*(1+Inputs!$B$21),C170)</f>
        <v/>
      </c>
      <c r="D171" s="15">
        <f>IF(AND(MONTH(A171)=4,YEAR(A171)&gt;=Inputs!$B$20),D170*(1+Inputs!$B$21),D170)</f>
        <v/>
      </c>
      <c r="E171" s="12">
        <f>VLOOKUP(A171,Inputs!$A$53:$C$55,2,TRUE)</f>
        <v/>
      </c>
      <c r="F171" s="12">
        <f>VLOOKUP(A171,Inputs!$A$53:$C$55,3,TRUE)</f>
        <v/>
      </c>
      <c r="G171" s="12">
        <f>MIN(F171,E171+0.03*MAX(0,MIN(1,(B171-C171)/(D171-C171))))</f>
        <v/>
      </c>
      <c r="H171" s="13">
        <f>MAX(0,0.09*(B171-C171)/12)</f>
        <v/>
      </c>
      <c r="I171" s="13">
        <f>K170*G171/12</f>
        <v/>
      </c>
      <c r="J171" s="13">
        <f>MIN(H171,K170+I171)</f>
        <v/>
      </c>
      <c r="K171" s="13">
        <f>MAX(0,K170+I171-J171)</f>
        <v/>
      </c>
      <c r="L171" s="13">
        <f>Inputs!$B$7+IF(AND(YEAR(A171)=YEAR(Inputs!$B$9),MONTH(A171)=MONTH(Inputs!$B$9)),Inputs!$B$8,0)</f>
        <v/>
      </c>
      <c r="M171" s="13">
        <f>O170*G171/12</f>
        <v/>
      </c>
      <c r="N171" s="13">
        <f>MIN(H171+L171,O170+M171)</f>
        <v/>
      </c>
      <c r="O171" s="13">
        <f>MAX(0,O170+M171-N171)</f>
        <v/>
      </c>
    </row>
    <row r="172">
      <c r="A172" s="11" t="n">
        <v>51288</v>
      </c>
      <c r="B172" s="15">
        <f>IF(MONTH(A172)=4,B171*(1+Inputs!$B$6),B171)</f>
        <v/>
      </c>
      <c r="C172" s="15">
        <f>IF(AND(MONTH(A172)=4,YEAR(A172)&gt;=Inputs!$B$20),C171*(1+Inputs!$B$21),C171)</f>
        <v/>
      </c>
      <c r="D172" s="15">
        <f>IF(AND(MONTH(A172)=4,YEAR(A172)&gt;=Inputs!$B$20),D171*(1+Inputs!$B$21),D171)</f>
        <v/>
      </c>
      <c r="E172" s="12">
        <f>VLOOKUP(A172,Inputs!$A$53:$C$55,2,TRUE)</f>
        <v/>
      </c>
      <c r="F172" s="12">
        <f>VLOOKUP(A172,Inputs!$A$53:$C$55,3,TRUE)</f>
        <v/>
      </c>
      <c r="G172" s="12">
        <f>MIN(F172,E172+0.03*MAX(0,MIN(1,(B172-C172)/(D172-C172))))</f>
        <v/>
      </c>
      <c r="H172" s="13">
        <f>MAX(0,0.09*(B172-C172)/12)</f>
        <v/>
      </c>
      <c r="I172" s="13">
        <f>K171*G172/12</f>
        <v/>
      </c>
      <c r="J172" s="13">
        <f>MIN(H172,K171+I172)</f>
        <v/>
      </c>
      <c r="K172" s="13">
        <f>MAX(0,K171+I172-J172)</f>
        <v/>
      </c>
      <c r="L172" s="13">
        <f>Inputs!$B$7+IF(AND(YEAR(A172)=YEAR(Inputs!$B$9),MONTH(A172)=MONTH(Inputs!$B$9)),Inputs!$B$8,0)</f>
        <v/>
      </c>
      <c r="M172" s="13">
        <f>O171*G172/12</f>
        <v/>
      </c>
      <c r="N172" s="13">
        <f>MIN(H172+L172,O171+M172)</f>
        <v/>
      </c>
      <c r="O172" s="13">
        <f>MAX(0,O171+M172-N172)</f>
        <v/>
      </c>
    </row>
    <row r="173">
      <c r="A173" s="11" t="n">
        <v>51318</v>
      </c>
      <c r="B173" s="15">
        <f>IF(MONTH(A173)=4,B172*(1+Inputs!$B$6),B172)</f>
        <v/>
      </c>
      <c r="C173" s="15">
        <f>IF(AND(MONTH(A173)=4,YEAR(A173)&gt;=Inputs!$B$20),C172*(1+Inputs!$B$21),C172)</f>
        <v/>
      </c>
      <c r="D173" s="15">
        <f>IF(AND(MONTH(A173)=4,YEAR(A173)&gt;=Inputs!$B$20),D172*(1+Inputs!$B$21),D172)</f>
        <v/>
      </c>
      <c r="E173" s="12">
        <f>VLOOKUP(A173,Inputs!$A$53:$C$55,2,TRUE)</f>
        <v/>
      </c>
      <c r="F173" s="12">
        <f>VLOOKUP(A173,Inputs!$A$53:$C$55,3,TRUE)</f>
        <v/>
      </c>
      <c r="G173" s="12">
        <f>MIN(F173,E173+0.03*MAX(0,MIN(1,(B173-C173)/(D173-C173))))</f>
        <v/>
      </c>
      <c r="H173" s="13">
        <f>MAX(0,0.09*(B173-C173)/12)</f>
        <v/>
      </c>
      <c r="I173" s="13">
        <f>K172*G173/12</f>
        <v/>
      </c>
      <c r="J173" s="13">
        <f>MIN(H173,K172+I173)</f>
        <v/>
      </c>
      <c r="K173" s="13">
        <f>MAX(0,K172+I173-J173)</f>
        <v/>
      </c>
      <c r="L173" s="13">
        <f>Inputs!$B$7+IF(AND(YEAR(A173)=YEAR(Inputs!$B$9),MONTH(A173)=MONTH(Inputs!$B$9)),Inputs!$B$8,0)</f>
        <v/>
      </c>
      <c r="M173" s="13">
        <f>O172*G173/12</f>
        <v/>
      </c>
      <c r="N173" s="13">
        <f>MIN(H173+L173,O172+M173)</f>
        <v/>
      </c>
      <c r="O173" s="13">
        <f>MAX(0,O172+M173-N173)</f>
        <v/>
      </c>
    </row>
    <row r="174">
      <c r="A174" s="11" t="n">
        <v>51349</v>
      </c>
      <c r="B174" s="15">
        <f>IF(MONTH(A174)=4,B173*(1+Inputs!$B$6),B173)</f>
        <v/>
      </c>
      <c r="C174" s="15">
        <f>IF(AND(MONTH(A174)=4,YEAR(A174)&gt;=Inputs!$B$20),C173*(1+Inputs!$B$21),C173)</f>
        <v/>
      </c>
      <c r="D174" s="15">
        <f>IF(AND(MONTH(A174)=4,YEAR(A174)&gt;=Inputs!$B$20),D173*(1+Inputs!$B$21),D173)</f>
        <v/>
      </c>
      <c r="E174" s="12">
        <f>VLOOKUP(A174,Inputs!$A$53:$C$55,2,TRUE)</f>
        <v/>
      </c>
      <c r="F174" s="12">
        <f>VLOOKUP(A174,Inputs!$A$53:$C$55,3,TRUE)</f>
        <v/>
      </c>
      <c r="G174" s="12">
        <f>MIN(F174,E174+0.03*MAX(0,MIN(1,(B174-C174)/(D174-C174))))</f>
        <v/>
      </c>
      <c r="H174" s="13">
        <f>MAX(0,0.09*(B174-C174)/12)</f>
        <v/>
      </c>
      <c r="I174" s="13">
        <f>K173*G174/12</f>
        <v/>
      </c>
      <c r="J174" s="13">
        <f>MIN(H174,K173+I174)</f>
        <v/>
      </c>
      <c r="K174" s="13">
        <f>MAX(0,K173+I174-J174)</f>
        <v/>
      </c>
      <c r="L174" s="13">
        <f>Inputs!$B$7+IF(AND(YEAR(A174)=YEAR(Inputs!$B$9),MONTH(A174)=MONTH(Inputs!$B$9)),Inputs!$B$8,0)</f>
        <v/>
      </c>
      <c r="M174" s="13">
        <f>O173*G174/12</f>
        <v/>
      </c>
      <c r="N174" s="13">
        <f>MIN(H174+L174,O173+M174)</f>
        <v/>
      </c>
      <c r="O174" s="13">
        <f>MAX(0,O173+M174-N174)</f>
        <v/>
      </c>
    </row>
    <row r="175">
      <c r="A175" s="11" t="n">
        <v>51380</v>
      </c>
      <c r="B175" s="15">
        <f>IF(MONTH(A175)=4,B174*(1+Inputs!$B$6),B174)</f>
        <v/>
      </c>
      <c r="C175" s="15">
        <f>IF(AND(MONTH(A175)=4,YEAR(A175)&gt;=Inputs!$B$20),C174*(1+Inputs!$B$21),C174)</f>
        <v/>
      </c>
      <c r="D175" s="15">
        <f>IF(AND(MONTH(A175)=4,YEAR(A175)&gt;=Inputs!$B$20),D174*(1+Inputs!$B$21),D174)</f>
        <v/>
      </c>
      <c r="E175" s="12">
        <f>VLOOKUP(A175,Inputs!$A$53:$C$55,2,TRUE)</f>
        <v/>
      </c>
      <c r="F175" s="12">
        <f>VLOOKUP(A175,Inputs!$A$53:$C$55,3,TRUE)</f>
        <v/>
      </c>
      <c r="G175" s="12">
        <f>MIN(F175,E175+0.03*MAX(0,MIN(1,(B175-C175)/(D175-C175))))</f>
        <v/>
      </c>
      <c r="H175" s="13">
        <f>MAX(0,0.09*(B175-C175)/12)</f>
        <v/>
      </c>
      <c r="I175" s="13">
        <f>K174*G175/12</f>
        <v/>
      </c>
      <c r="J175" s="13">
        <f>MIN(H175,K174+I175)</f>
        <v/>
      </c>
      <c r="K175" s="13">
        <f>MAX(0,K174+I175-J175)</f>
        <v/>
      </c>
      <c r="L175" s="13">
        <f>Inputs!$B$7+IF(AND(YEAR(A175)=YEAR(Inputs!$B$9),MONTH(A175)=MONTH(Inputs!$B$9)),Inputs!$B$8,0)</f>
        <v/>
      </c>
      <c r="M175" s="13">
        <f>O174*G175/12</f>
        <v/>
      </c>
      <c r="N175" s="13">
        <f>MIN(H175+L175,O174+M175)</f>
        <v/>
      </c>
      <c r="O175" s="13">
        <f>MAX(0,O174+M175-N175)</f>
        <v/>
      </c>
    </row>
    <row r="176">
      <c r="A176" s="11" t="n">
        <v>51410</v>
      </c>
      <c r="B176" s="15">
        <f>IF(MONTH(A176)=4,B175*(1+Inputs!$B$6),B175)</f>
        <v/>
      </c>
      <c r="C176" s="15">
        <f>IF(AND(MONTH(A176)=4,YEAR(A176)&gt;=Inputs!$B$20),C175*(1+Inputs!$B$21),C175)</f>
        <v/>
      </c>
      <c r="D176" s="15">
        <f>IF(AND(MONTH(A176)=4,YEAR(A176)&gt;=Inputs!$B$20),D175*(1+Inputs!$B$21),D175)</f>
        <v/>
      </c>
      <c r="E176" s="12">
        <f>VLOOKUP(A176,Inputs!$A$53:$C$55,2,TRUE)</f>
        <v/>
      </c>
      <c r="F176" s="12">
        <f>VLOOKUP(A176,Inputs!$A$53:$C$55,3,TRUE)</f>
        <v/>
      </c>
      <c r="G176" s="12">
        <f>MIN(F176,E176+0.03*MAX(0,MIN(1,(B176-C176)/(D176-C176))))</f>
        <v/>
      </c>
      <c r="H176" s="13">
        <f>MAX(0,0.09*(B176-C176)/12)</f>
        <v/>
      </c>
      <c r="I176" s="13">
        <f>K175*G176/12</f>
        <v/>
      </c>
      <c r="J176" s="13">
        <f>MIN(H176,K175+I176)</f>
        <v/>
      </c>
      <c r="K176" s="13">
        <f>MAX(0,K175+I176-J176)</f>
        <v/>
      </c>
      <c r="L176" s="13">
        <f>Inputs!$B$7+IF(AND(YEAR(A176)=YEAR(Inputs!$B$9),MONTH(A176)=MONTH(Inputs!$B$9)),Inputs!$B$8,0)</f>
        <v/>
      </c>
      <c r="M176" s="13">
        <f>O175*G176/12</f>
        <v/>
      </c>
      <c r="N176" s="13">
        <f>MIN(H176+L176,O175+M176)</f>
        <v/>
      </c>
      <c r="O176" s="13">
        <f>MAX(0,O175+M176-N176)</f>
        <v/>
      </c>
    </row>
    <row r="177">
      <c r="A177" s="11" t="n">
        <v>51441</v>
      </c>
      <c r="B177" s="15">
        <f>IF(MONTH(A177)=4,B176*(1+Inputs!$B$6),B176)</f>
        <v/>
      </c>
      <c r="C177" s="15">
        <f>IF(AND(MONTH(A177)=4,YEAR(A177)&gt;=Inputs!$B$20),C176*(1+Inputs!$B$21),C176)</f>
        <v/>
      </c>
      <c r="D177" s="15">
        <f>IF(AND(MONTH(A177)=4,YEAR(A177)&gt;=Inputs!$B$20),D176*(1+Inputs!$B$21),D176)</f>
        <v/>
      </c>
      <c r="E177" s="12">
        <f>VLOOKUP(A177,Inputs!$A$53:$C$55,2,TRUE)</f>
        <v/>
      </c>
      <c r="F177" s="12">
        <f>VLOOKUP(A177,Inputs!$A$53:$C$55,3,TRUE)</f>
        <v/>
      </c>
      <c r="G177" s="12">
        <f>MIN(F177,E177+0.03*MAX(0,MIN(1,(B177-C177)/(D177-C177))))</f>
        <v/>
      </c>
      <c r="H177" s="13">
        <f>MAX(0,0.09*(B177-C177)/12)</f>
        <v/>
      </c>
      <c r="I177" s="13">
        <f>K176*G177/12</f>
        <v/>
      </c>
      <c r="J177" s="13">
        <f>MIN(H177,K176+I177)</f>
        <v/>
      </c>
      <c r="K177" s="13">
        <f>MAX(0,K176+I177-J177)</f>
        <v/>
      </c>
      <c r="L177" s="13">
        <f>Inputs!$B$7+IF(AND(YEAR(A177)=YEAR(Inputs!$B$9),MONTH(A177)=MONTH(Inputs!$B$9)),Inputs!$B$8,0)</f>
        <v/>
      </c>
      <c r="M177" s="13">
        <f>O176*G177/12</f>
        <v/>
      </c>
      <c r="N177" s="13">
        <f>MIN(H177+L177,O176+M177)</f>
        <v/>
      </c>
      <c r="O177" s="13">
        <f>MAX(0,O176+M177-N177)</f>
        <v/>
      </c>
    </row>
    <row r="178">
      <c r="A178" s="11" t="n">
        <v>51471</v>
      </c>
      <c r="B178" s="15">
        <f>IF(MONTH(A178)=4,B177*(1+Inputs!$B$6),B177)</f>
        <v/>
      </c>
      <c r="C178" s="15">
        <f>IF(AND(MONTH(A178)=4,YEAR(A178)&gt;=Inputs!$B$20),C177*(1+Inputs!$B$21),C177)</f>
        <v/>
      </c>
      <c r="D178" s="15">
        <f>IF(AND(MONTH(A178)=4,YEAR(A178)&gt;=Inputs!$B$20),D177*(1+Inputs!$B$21),D177)</f>
        <v/>
      </c>
      <c r="E178" s="12">
        <f>VLOOKUP(A178,Inputs!$A$53:$C$55,2,TRUE)</f>
        <v/>
      </c>
      <c r="F178" s="12">
        <f>VLOOKUP(A178,Inputs!$A$53:$C$55,3,TRUE)</f>
        <v/>
      </c>
      <c r="G178" s="12">
        <f>MIN(F178,E178+0.03*MAX(0,MIN(1,(B178-C178)/(D178-C178))))</f>
        <v/>
      </c>
      <c r="H178" s="13">
        <f>MAX(0,0.09*(B178-C178)/12)</f>
        <v/>
      </c>
      <c r="I178" s="13">
        <f>K177*G178/12</f>
        <v/>
      </c>
      <c r="J178" s="13">
        <f>MIN(H178,K177+I178)</f>
        <v/>
      </c>
      <c r="K178" s="13">
        <f>MAX(0,K177+I178-J178)</f>
        <v/>
      </c>
      <c r="L178" s="13">
        <f>Inputs!$B$7+IF(AND(YEAR(A178)=YEAR(Inputs!$B$9),MONTH(A178)=MONTH(Inputs!$B$9)),Inputs!$B$8,0)</f>
        <v/>
      </c>
      <c r="M178" s="13">
        <f>O177*G178/12</f>
        <v/>
      </c>
      <c r="N178" s="13">
        <f>MIN(H178+L178,O177+M178)</f>
        <v/>
      </c>
      <c r="O178" s="13">
        <f>MAX(0,O177+M178-N178)</f>
        <v/>
      </c>
    </row>
    <row r="179">
      <c r="A179" s="11" t="n">
        <v>51502</v>
      </c>
      <c r="B179" s="15">
        <f>IF(MONTH(A179)=4,B178*(1+Inputs!$B$6),B178)</f>
        <v/>
      </c>
      <c r="C179" s="15">
        <f>IF(AND(MONTH(A179)=4,YEAR(A179)&gt;=Inputs!$B$20),C178*(1+Inputs!$B$21),C178)</f>
        <v/>
      </c>
      <c r="D179" s="15">
        <f>IF(AND(MONTH(A179)=4,YEAR(A179)&gt;=Inputs!$B$20),D178*(1+Inputs!$B$21),D178)</f>
        <v/>
      </c>
      <c r="E179" s="12">
        <f>VLOOKUP(A179,Inputs!$A$53:$C$55,2,TRUE)</f>
        <v/>
      </c>
      <c r="F179" s="12">
        <f>VLOOKUP(A179,Inputs!$A$53:$C$55,3,TRUE)</f>
        <v/>
      </c>
      <c r="G179" s="12">
        <f>MIN(F179,E179+0.03*MAX(0,MIN(1,(B179-C179)/(D179-C179))))</f>
        <v/>
      </c>
      <c r="H179" s="13">
        <f>MAX(0,0.09*(B179-C179)/12)</f>
        <v/>
      </c>
      <c r="I179" s="13">
        <f>K178*G179/12</f>
        <v/>
      </c>
      <c r="J179" s="13">
        <f>MIN(H179,K178+I179)</f>
        <v/>
      </c>
      <c r="K179" s="13">
        <f>MAX(0,K178+I179-J179)</f>
        <v/>
      </c>
      <c r="L179" s="13">
        <f>Inputs!$B$7+IF(AND(YEAR(A179)=YEAR(Inputs!$B$9),MONTH(A179)=MONTH(Inputs!$B$9)),Inputs!$B$8,0)</f>
        <v/>
      </c>
      <c r="M179" s="13">
        <f>O178*G179/12</f>
        <v/>
      </c>
      <c r="N179" s="13">
        <f>MIN(H179+L179,O178+M179)</f>
        <v/>
      </c>
      <c r="O179" s="13">
        <f>MAX(0,O178+M179-N179)</f>
        <v/>
      </c>
    </row>
    <row r="180">
      <c r="A180" s="11" t="n">
        <v>51533</v>
      </c>
      <c r="B180" s="15">
        <f>IF(MONTH(A180)=4,B179*(1+Inputs!$B$6),B179)</f>
        <v/>
      </c>
      <c r="C180" s="15">
        <f>IF(AND(MONTH(A180)=4,YEAR(A180)&gt;=Inputs!$B$20),C179*(1+Inputs!$B$21),C179)</f>
        <v/>
      </c>
      <c r="D180" s="15">
        <f>IF(AND(MONTH(A180)=4,YEAR(A180)&gt;=Inputs!$B$20),D179*(1+Inputs!$B$21),D179)</f>
        <v/>
      </c>
      <c r="E180" s="12">
        <f>VLOOKUP(A180,Inputs!$A$53:$C$55,2,TRUE)</f>
        <v/>
      </c>
      <c r="F180" s="12">
        <f>VLOOKUP(A180,Inputs!$A$53:$C$55,3,TRUE)</f>
        <v/>
      </c>
      <c r="G180" s="12">
        <f>MIN(F180,E180+0.03*MAX(0,MIN(1,(B180-C180)/(D180-C180))))</f>
        <v/>
      </c>
      <c r="H180" s="13">
        <f>MAX(0,0.09*(B180-C180)/12)</f>
        <v/>
      </c>
      <c r="I180" s="13">
        <f>K179*G180/12</f>
        <v/>
      </c>
      <c r="J180" s="13">
        <f>MIN(H180,K179+I180)</f>
        <v/>
      </c>
      <c r="K180" s="13">
        <f>MAX(0,K179+I180-J180)</f>
        <v/>
      </c>
      <c r="L180" s="13">
        <f>Inputs!$B$7+IF(AND(YEAR(A180)=YEAR(Inputs!$B$9),MONTH(A180)=MONTH(Inputs!$B$9)),Inputs!$B$8,0)</f>
        <v/>
      </c>
      <c r="M180" s="13">
        <f>O179*G180/12</f>
        <v/>
      </c>
      <c r="N180" s="13">
        <f>MIN(H180+L180,O179+M180)</f>
        <v/>
      </c>
      <c r="O180" s="13">
        <f>MAX(0,O179+M180-N180)</f>
        <v/>
      </c>
    </row>
    <row r="181">
      <c r="A181" s="11" t="n">
        <v>51561</v>
      </c>
      <c r="B181" s="15">
        <f>IF(MONTH(A181)=4,B180*(1+Inputs!$B$6),B180)</f>
        <v/>
      </c>
      <c r="C181" s="15">
        <f>IF(AND(MONTH(A181)=4,YEAR(A181)&gt;=Inputs!$B$20),C180*(1+Inputs!$B$21),C180)</f>
        <v/>
      </c>
      <c r="D181" s="15">
        <f>IF(AND(MONTH(A181)=4,YEAR(A181)&gt;=Inputs!$B$20),D180*(1+Inputs!$B$21),D180)</f>
        <v/>
      </c>
      <c r="E181" s="12">
        <f>VLOOKUP(A181,Inputs!$A$53:$C$55,2,TRUE)</f>
        <v/>
      </c>
      <c r="F181" s="12">
        <f>VLOOKUP(A181,Inputs!$A$53:$C$55,3,TRUE)</f>
        <v/>
      </c>
      <c r="G181" s="12">
        <f>MIN(F181,E181+0.03*MAX(0,MIN(1,(B181-C181)/(D181-C181))))</f>
        <v/>
      </c>
      <c r="H181" s="13">
        <f>MAX(0,0.09*(B181-C181)/12)</f>
        <v/>
      </c>
      <c r="I181" s="13">
        <f>K180*G181/12</f>
        <v/>
      </c>
      <c r="J181" s="13">
        <f>MIN(H181,K180+I181)</f>
        <v/>
      </c>
      <c r="K181" s="13">
        <f>MAX(0,K180+I181-J181)</f>
        <v/>
      </c>
      <c r="L181" s="13">
        <f>Inputs!$B$7+IF(AND(YEAR(A181)=YEAR(Inputs!$B$9),MONTH(A181)=MONTH(Inputs!$B$9)),Inputs!$B$8,0)</f>
        <v/>
      </c>
      <c r="M181" s="13">
        <f>O180*G181/12</f>
        <v/>
      </c>
      <c r="N181" s="13">
        <f>MIN(H181+L181,O180+M181)</f>
        <v/>
      </c>
      <c r="O181" s="13">
        <f>MAX(0,O180+M181-N181)</f>
        <v/>
      </c>
    </row>
    <row r="182">
      <c r="A182" s="11" t="n">
        <v>51592</v>
      </c>
      <c r="B182" s="15">
        <f>IF(MONTH(A182)=4,B181*(1+Inputs!$B$6),B181)</f>
        <v/>
      </c>
      <c r="C182" s="15">
        <f>IF(AND(MONTH(A182)=4,YEAR(A182)&gt;=Inputs!$B$20),C181*(1+Inputs!$B$21),C181)</f>
        <v/>
      </c>
      <c r="D182" s="15">
        <f>IF(AND(MONTH(A182)=4,YEAR(A182)&gt;=Inputs!$B$20),D181*(1+Inputs!$B$21),D181)</f>
        <v/>
      </c>
      <c r="E182" s="12">
        <f>VLOOKUP(A182,Inputs!$A$53:$C$55,2,TRUE)</f>
        <v/>
      </c>
      <c r="F182" s="12">
        <f>VLOOKUP(A182,Inputs!$A$53:$C$55,3,TRUE)</f>
        <v/>
      </c>
      <c r="G182" s="12">
        <f>MIN(F182,E182+0.03*MAX(0,MIN(1,(B182-C182)/(D182-C182))))</f>
        <v/>
      </c>
      <c r="H182" s="13">
        <f>MAX(0,0.09*(B182-C182)/12)</f>
        <v/>
      </c>
      <c r="I182" s="13">
        <f>K181*G182/12</f>
        <v/>
      </c>
      <c r="J182" s="13">
        <f>MIN(H182,K181+I182)</f>
        <v/>
      </c>
      <c r="K182" s="13">
        <f>MAX(0,K181+I182-J182)</f>
        <v/>
      </c>
      <c r="L182" s="13">
        <f>Inputs!$B$7+IF(AND(YEAR(A182)=YEAR(Inputs!$B$9),MONTH(A182)=MONTH(Inputs!$B$9)),Inputs!$B$8,0)</f>
        <v/>
      </c>
      <c r="M182" s="13">
        <f>O181*G182/12</f>
        <v/>
      </c>
      <c r="N182" s="13">
        <f>MIN(H182+L182,O181+M182)</f>
        <v/>
      </c>
      <c r="O182" s="13">
        <f>MAX(0,O181+M182-N182)</f>
        <v/>
      </c>
    </row>
    <row r="183">
      <c r="A183" s="11" t="n">
        <v>51622</v>
      </c>
      <c r="B183" s="15">
        <f>IF(MONTH(A183)=4,B182*(1+Inputs!$B$6),B182)</f>
        <v/>
      </c>
      <c r="C183" s="15">
        <f>IF(AND(MONTH(A183)=4,YEAR(A183)&gt;=Inputs!$B$20),C182*(1+Inputs!$B$21),C182)</f>
        <v/>
      </c>
      <c r="D183" s="15">
        <f>IF(AND(MONTH(A183)=4,YEAR(A183)&gt;=Inputs!$B$20),D182*(1+Inputs!$B$21),D182)</f>
        <v/>
      </c>
      <c r="E183" s="12">
        <f>VLOOKUP(A183,Inputs!$A$53:$C$55,2,TRUE)</f>
        <v/>
      </c>
      <c r="F183" s="12">
        <f>VLOOKUP(A183,Inputs!$A$53:$C$55,3,TRUE)</f>
        <v/>
      </c>
      <c r="G183" s="12">
        <f>MIN(F183,E183+0.03*MAX(0,MIN(1,(B183-C183)/(D183-C183))))</f>
        <v/>
      </c>
      <c r="H183" s="13">
        <f>MAX(0,0.09*(B183-C183)/12)</f>
        <v/>
      </c>
      <c r="I183" s="13">
        <f>K182*G183/12</f>
        <v/>
      </c>
      <c r="J183" s="13">
        <f>MIN(H183,K182+I183)</f>
        <v/>
      </c>
      <c r="K183" s="13">
        <f>MAX(0,K182+I183-J183)</f>
        <v/>
      </c>
      <c r="L183" s="13">
        <f>Inputs!$B$7+IF(AND(YEAR(A183)=YEAR(Inputs!$B$9),MONTH(A183)=MONTH(Inputs!$B$9)),Inputs!$B$8,0)</f>
        <v/>
      </c>
      <c r="M183" s="13">
        <f>O182*G183/12</f>
        <v/>
      </c>
      <c r="N183" s="13">
        <f>MIN(H183+L183,O182+M183)</f>
        <v/>
      </c>
      <c r="O183" s="13">
        <f>MAX(0,O182+M183-N183)</f>
        <v/>
      </c>
    </row>
    <row r="184">
      <c r="A184" s="11" t="n">
        <v>51653</v>
      </c>
      <c r="B184" s="15">
        <f>IF(MONTH(A184)=4,B183*(1+Inputs!$B$6),B183)</f>
        <v/>
      </c>
      <c r="C184" s="15">
        <f>IF(AND(MONTH(A184)=4,YEAR(A184)&gt;=Inputs!$B$20),C183*(1+Inputs!$B$21),C183)</f>
        <v/>
      </c>
      <c r="D184" s="15">
        <f>IF(AND(MONTH(A184)=4,YEAR(A184)&gt;=Inputs!$B$20),D183*(1+Inputs!$B$21),D183)</f>
        <v/>
      </c>
      <c r="E184" s="12">
        <f>VLOOKUP(A184,Inputs!$A$53:$C$55,2,TRUE)</f>
        <v/>
      </c>
      <c r="F184" s="12">
        <f>VLOOKUP(A184,Inputs!$A$53:$C$55,3,TRUE)</f>
        <v/>
      </c>
      <c r="G184" s="12">
        <f>MIN(F184,E184+0.03*MAX(0,MIN(1,(B184-C184)/(D184-C184))))</f>
        <v/>
      </c>
      <c r="H184" s="13">
        <f>MAX(0,0.09*(B184-C184)/12)</f>
        <v/>
      </c>
      <c r="I184" s="13">
        <f>K183*G184/12</f>
        <v/>
      </c>
      <c r="J184" s="13">
        <f>MIN(H184,K183+I184)</f>
        <v/>
      </c>
      <c r="K184" s="13">
        <f>MAX(0,K183+I184-J184)</f>
        <v/>
      </c>
      <c r="L184" s="13">
        <f>Inputs!$B$7+IF(AND(YEAR(A184)=YEAR(Inputs!$B$9),MONTH(A184)=MONTH(Inputs!$B$9)),Inputs!$B$8,0)</f>
        <v/>
      </c>
      <c r="M184" s="13">
        <f>O183*G184/12</f>
        <v/>
      </c>
      <c r="N184" s="13">
        <f>MIN(H184+L184,O183+M184)</f>
        <v/>
      </c>
      <c r="O184" s="13">
        <f>MAX(0,O183+M184-N184)</f>
        <v/>
      </c>
    </row>
    <row r="185">
      <c r="A185" s="11" t="n">
        <v>51683</v>
      </c>
      <c r="B185" s="15">
        <f>IF(MONTH(A185)=4,B184*(1+Inputs!$B$6),B184)</f>
        <v/>
      </c>
      <c r="C185" s="15">
        <f>IF(AND(MONTH(A185)=4,YEAR(A185)&gt;=Inputs!$B$20),C184*(1+Inputs!$B$21),C184)</f>
        <v/>
      </c>
      <c r="D185" s="15">
        <f>IF(AND(MONTH(A185)=4,YEAR(A185)&gt;=Inputs!$B$20),D184*(1+Inputs!$B$21),D184)</f>
        <v/>
      </c>
      <c r="E185" s="12">
        <f>VLOOKUP(A185,Inputs!$A$53:$C$55,2,TRUE)</f>
        <v/>
      </c>
      <c r="F185" s="12">
        <f>VLOOKUP(A185,Inputs!$A$53:$C$55,3,TRUE)</f>
        <v/>
      </c>
      <c r="G185" s="12">
        <f>MIN(F185,E185+0.03*MAX(0,MIN(1,(B185-C185)/(D185-C185))))</f>
        <v/>
      </c>
      <c r="H185" s="13">
        <f>MAX(0,0.09*(B185-C185)/12)</f>
        <v/>
      </c>
      <c r="I185" s="13">
        <f>K184*G185/12</f>
        <v/>
      </c>
      <c r="J185" s="13">
        <f>MIN(H185,K184+I185)</f>
        <v/>
      </c>
      <c r="K185" s="13">
        <f>MAX(0,K184+I185-J185)</f>
        <v/>
      </c>
      <c r="L185" s="13">
        <f>Inputs!$B$7+IF(AND(YEAR(A185)=YEAR(Inputs!$B$9),MONTH(A185)=MONTH(Inputs!$B$9)),Inputs!$B$8,0)</f>
        <v/>
      </c>
      <c r="M185" s="13">
        <f>O184*G185/12</f>
        <v/>
      </c>
      <c r="N185" s="13">
        <f>MIN(H185+L185,O184+M185)</f>
        <v/>
      </c>
      <c r="O185" s="13">
        <f>MAX(0,O184+M185-N185)</f>
        <v/>
      </c>
    </row>
    <row r="186">
      <c r="A186" s="11" t="n">
        <v>51714</v>
      </c>
      <c r="B186" s="15">
        <f>IF(MONTH(A186)=4,B185*(1+Inputs!$B$6),B185)</f>
        <v/>
      </c>
      <c r="C186" s="15">
        <f>IF(AND(MONTH(A186)=4,YEAR(A186)&gt;=Inputs!$B$20),C185*(1+Inputs!$B$21),C185)</f>
        <v/>
      </c>
      <c r="D186" s="15">
        <f>IF(AND(MONTH(A186)=4,YEAR(A186)&gt;=Inputs!$B$20),D185*(1+Inputs!$B$21),D185)</f>
        <v/>
      </c>
      <c r="E186" s="12">
        <f>VLOOKUP(A186,Inputs!$A$53:$C$55,2,TRUE)</f>
        <v/>
      </c>
      <c r="F186" s="12">
        <f>VLOOKUP(A186,Inputs!$A$53:$C$55,3,TRUE)</f>
        <v/>
      </c>
      <c r="G186" s="12">
        <f>MIN(F186,E186+0.03*MAX(0,MIN(1,(B186-C186)/(D186-C186))))</f>
        <v/>
      </c>
      <c r="H186" s="13">
        <f>MAX(0,0.09*(B186-C186)/12)</f>
        <v/>
      </c>
      <c r="I186" s="13">
        <f>K185*G186/12</f>
        <v/>
      </c>
      <c r="J186" s="13">
        <f>MIN(H186,K185+I186)</f>
        <v/>
      </c>
      <c r="K186" s="13">
        <f>MAX(0,K185+I186-J186)</f>
        <v/>
      </c>
      <c r="L186" s="13">
        <f>Inputs!$B$7+IF(AND(YEAR(A186)=YEAR(Inputs!$B$9),MONTH(A186)=MONTH(Inputs!$B$9)),Inputs!$B$8,0)</f>
        <v/>
      </c>
      <c r="M186" s="13">
        <f>O185*G186/12</f>
        <v/>
      </c>
      <c r="N186" s="13">
        <f>MIN(H186+L186,O185+M186)</f>
        <v/>
      </c>
      <c r="O186" s="13">
        <f>MAX(0,O185+M186-N186)</f>
        <v/>
      </c>
    </row>
    <row r="187">
      <c r="A187" s="11" t="n">
        <v>51745</v>
      </c>
      <c r="B187" s="15">
        <f>IF(MONTH(A187)=4,B186*(1+Inputs!$B$6),B186)</f>
        <v/>
      </c>
      <c r="C187" s="15">
        <f>IF(AND(MONTH(A187)=4,YEAR(A187)&gt;=Inputs!$B$20),C186*(1+Inputs!$B$21),C186)</f>
        <v/>
      </c>
      <c r="D187" s="15">
        <f>IF(AND(MONTH(A187)=4,YEAR(A187)&gt;=Inputs!$B$20),D186*(1+Inputs!$B$21),D186)</f>
        <v/>
      </c>
      <c r="E187" s="12">
        <f>VLOOKUP(A187,Inputs!$A$53:$C$55,2,TRUE)</f>
        <v/>
      </c>
      <c r="F187" s="12">
        <f>VLOOKUP(A187,Inputs!$A$53:$C$55,3,TRUE)</f>
        <v/>
      </c>
      <c r="G187" s="12">
        <f>MIN(F187,E187+0.03*MAX(0,MIN(1,(B187-C187)/(D187-C187))))</f>
        <v/>
      </c>
      <c r="H187" s="13">
        <f>MAX(0,0.09*(B187-C187)/12)</f>
        <v/>
      </c>
      <c r="I187" s="13">
        <f>K186*G187/12</f>
        <v/>
      </c>
      <c r="J187" s="13">
        <f>MIN(H187,K186+I187)</f>
        <v/>
      </c>
      <c r="K187" s="13">
        <f>MAX(0,K186+I187-J187)</f>
        <v/>
      </c>
      <c r="L187" s="13">
        <f>Inputs!$B$7+IF(AND(YEAR(A187)=YEAR(Inputs!$B$9),MONTH(A187)=MONTH(Inputs!$B$9)),Inputs!$B$8,0)</f>
        <v/>
      </c>
      <c r="M187" s="13">
        <f>O186*G187/12</f>
        <v/>
      </c>
      <c r="N187" s="13">
        <f>MIN(H187+L187,O186+M187)</f>
        <v/>
      </c>
      <c r="O187" s="13">
        <f>MAX(0,O186+M187-N187)</f>
        <v/>
      </c>
    </row>
    <row r="188">
      <c r="A188" s="11" t="n">
        <v>51775</v>
      </c>
      <c r="B188" s="15">
        <f>IF(MONTH(A188)=4,B187*(1+Inputs!$B$6),B187)</f>
        <v/>
      </c>
      <c r="C188" s="15">
        <f>IF(AND(MONTH(A188)=4,YEAR(A188)&gt;=Inputs!$B$20),C187*(1+Inputs!$B$21),C187)</f>
        <v/>
      </c>
      <c r="D188" s="15">
        <f>IF(AND(MONTH(A188)=4,YEAR(A188)&gt;=Inputs!$B$20),D187*(1+Inputs!$B$21),D187)</f>
        <v/>
      </c>
      <c r="E188" s="12">
        <f>VLOOKUP(A188,Inputs!$A$53:$C$55,2,TRUE)</f>
        <v/>
      </c>
      <c r="F188" s="12">
        <f>VLOOKUP(A188,Inputs!$A$53:$C$55,3,TRUE)</f>
        <v/>
      </c>
      <c r="G188" s="12">
        <f>MIN(F188,E188+0.03*MAX(0,MIN(1,(B188-C188)/(D188-C188))))</f>
        <v/>
      </c>
      <c r="H188" s="13">
        <f>MAX(0,0.09*(B188-C188)/12)</f>
        <v/>
      </c>
      <c r="I188" s="13">
        <f>K187*G188/12</f>
        <v/>
      </c>
      <c r="J188" s="13">
        <f>MIN(H188,K187+I188)</f>
        <v/>
      </c>
      <c r="K188" s="13">
        <f>MAX(0,K187+I188-J188)</f>
        <v/>
      </c>
      <c r="L188" s="13">
        <f>Inputs!$B$7+IF(AND(YEAR(A188)=YEAR(Inputs!$B$9),MONTH(A188)=MONTH(Inputs!$B$9)),Inputs!$B$8,0)</f>
        <v/>
      </c>
      <c r="M188" s="13">
        <f>O187*G188/12</f>
        <v/>
      </c>
      <c r="N188" s="13">
        <f>MIN(H188+L188,O187+M188)</f>
        <v/>
      </c>
      <c r="O188" s="13">
        <f>MAX(0,O187+M188-N188)</f>
        <v/>
      </c>
    </row>
    <row r="189">
      <c r="A189" s="11" t="n">
        <v>51806</v>
      </c>
      <c r="B189" s="15">
        <f>IF(MONTH(A189)=4,B188*(1+Inputs!$B$6),B188)</f>
        <v/>
      </c>
      <c r="C189" s="15">
        <f>IF(AND(MONTH(A189)=4,YEAR(A189)&gt;=Inputs!$B$20),C188*(1+Inputs!$B$21),C188)</f>
        <v/>
      </c>
      <c r="D189" s="15">
        <f>IF(AND(MONTH(A189)=4,YEAR(A189)&gt;=Inputs!$B$20),D188*(1+Inputs!$B$21),D188)</f>
        <v/>
      </c>
      <c r="E189" s="12">
        <f>VLOOKUP(A189,Inputs!$A$53:$C$55,2,TRUE)</f>
        <v/>
      </c>
      <c r="F189" s="12">
        <f>VLOOKUP(A189,Inputs!$A$53:$C$55,3,TRUE)</f>
        <v/>
      </c>
      <c r="G189" s="12">
        <f>MIN(F189,E189+0.03*MAX(0,MIN(1,(B189-C189)/(D189-C189))))</f>
        <v/>
      </c>
      <c r="H189" s="13">
        <f>MAX(0,0.09*(B189-C189)/12)</f>
        <v/>
      </c>
      <c r="I189" s="13">
        <f>K188*G189/12</f>
        <v/>
      </c>
      <c r="J189" s="13">
        <f>MIN(H189,K188+I189)</f>
        <v/>
      </c>
      <c r="K189" s="13">
        <f>MAX(0,K188+I189-J189)</f>
        <v/>
      </c>
      <c r="L189" s="13">
        <f>Inputs!$B$7+IF(AND(YEAR(A189)=YEAR(Inputs!$B$9),MONTH(A189)=MONTH(Inputs!$B$9)),Inputs!$B$8,0)</f>
        <v/>
      </c>
      <c r="M189" s="13">
        <f>O188*G189/12</f>
        <v/>
      </c>
      <c r="N189" s="13">
        <f>MIN(H189+L189,O188+M189)</f>
        <v/>
      </c>
      <c r="O189" s="13">
        <f>MAX(0,O188+M189-N189)</f>
        <v/>
      </c>
    </row>
    <row r="190">
      <c r="A190" s="11" t="n">
        <v>51836</v>
      </c>
      <c r="B190" s="15">
        <f>IF(MONTH(A190)=4,B189*(1+Inputs!$B$6),B189)</f>
        <v/>
      </c>
      <c r="C190" s="15">
        <f>IF(AND(MONTH(A190)=4,YEAR(A190)&gt;=Inputs!$B$20),C189*(1+Inputs!$B$21),C189)</f>
        <v/>
      </c>
      <c r="D190" s="15">
        <f>IF(AND(MONTH(A190)=4,YEAR(A190)&gt;=Inputs!$B$20),D189*(1+Inputs!$B$21),D189)</f>
        <v/>
      </c>
      <c r="E190" s="12">
        <f>VLOOKUP(A190,Inputs!$A$53:$C$55,2,TRUE)</f>
        <v/>
      </c>
      <c r="F190" s="12">
        <f>VLOOKUP(A190,Inputs!$A$53:$C$55,3,TRUE)</f>
        <v/>
      </c>
      <c r="G190" s="12">
        <f>MIN(F190,E190+0.03*MAX(0,MIN(1,(B190-C190)/(D190-C190))))</f>
        <v/>
      </c>
      <c r="H190" s="13">
        <f>MAX(0,0.09*(B190-C190)/12)</f>
        <v/>
      </c>
      <c r="I190" s="13">
        <f>K189*G190/12</f>
        <v/>
      </c>
      <c r="J190" s="13">
        <f>MIN(H190,K189+I190)</f>
        <v/>
      </c>
      <c r="K190" s="13">
        <f>MAX(0,K189+I190-J190)</f>
        <v/>
      </c>
      <c r="L190" s="13">
        <f>Inputs!$B$7+IF(AND(YEAR(A190)=YEAR(Inputs!$B$9),MONTH(A190)=MONTH(Inputs!$B$9)),Inputs!$B$8,0)</f>
        <v/>
      </c>
      <c r="M190" s="13">
        <f>O189*G190/12</f>
        <v/>
      </c>
      <c r="N190" s="13">
        <f>MIN(H190+L190,O189+M190)</f>
        <v/>
      </c>
      <c r="O190" s="13">
        <f>MAX(0,O189+M190-N190)</f>
        <v/>
      </c>
    </row>
    <row r="191">
      <c r="A191" s="11" t="n">
        <v>51867</v>
      </c>
      <c r="B191" s="15">
        <f>IF(MONTH(A191)=4,B190*(1+Inputs!$B$6),B190)</f>
        <v/>
      </c>
      <c r="C191" s="15">
        <f>IF(AND(MONTH(A191)=4,YEAR(A191)&gt;=Inputs!$B$20),C190*(1+Inputs!$B$21),C190)</f>
        <v/>
      </c>
      <c r="D191" s="15">
        <f>IF(AND(MONTH(A191)=4,YEAR(A191)&gt;=Inputs!$B$20),D190*(1+Inputs!$B$21),D190)</f>
        <v/>
      </c>
      <c r="E191" s="12">
        <f>VLOOKUP(A191,Inputs!$A$53:$C$55,2,TRUE)</f>
        <v/>
      </c>
      <c r="F191" s="12">
        <f>VLOOKUP(A191,Inputs!$A$53:$C$55,3,TRUE)</f>
        <v/>
      </c>
      <c r="G191" s="12">
        <f>MIN(F191,E191+0.03*MAX(0,MIN(1,(B191-C191)/(D191-C191))))</f>
        <v/>
      </c>
      <c r="H191" s="13">
        <f>MAX(0,0.09*(B191-C191)/12)</f>
        <v/>
      </c>
      <c r="I191" s="13">
        <f>K190*G191/12</f>
        <v/>
      </c>
      <c r="J191" s="13">
        <f>MIN(H191,K190+I191)</f>
        <v/>
      </c>
      <c r="K191" s="13">
        <f>MAX(0,K190+I191-J191)</f>
        <v/>
      </c>
      <c r="L191" s="13">
        <f>Inputs!$B$7+IF(AND(YEAR(A191)=YEAR(Inputs!$B$9),MONTH(A191)=MONTH(Inputs!$B$9)),Inputs!$B$8,0)</f>
        <v/>
      </c>
      <c r="M191" s="13">
        <f>O190*G191/12</f>
        <v/>
      </c>
      <c r="N191" s="13">
        <f>MIN(H191+L191,O190+M191)</f>
        <v/>
      </c>
      <c r="O191" s="13">
        <f>MAX(0,O190+M191-N191)</f>
        <v/>
      </c>
    </row>
    <row r="192">
      <c r="A192" s="11" t="n">
        <v>51898</v>
      </c>
      <c r="B192" s="15">
        <f>IF(MONTH(A192)=4,B191*(1+Inputs!$B$6),B191)</f>
        <v/>
      </c>
      <c r="C192" s="15">
        <f>IF(AND(MONTH(A192)=4,YEAR(A192)&gt;=Inputs!$B$20),C191*(1+Inputs!$B$21),C191)</f>
        <v/>
      </c>
      <c r="D192" s="15">
        <f>IF(AND(MONTH(A192)=4,YEAR(A192)&gt;=Inputs!$B$20),D191*(1+Inputs!$B$21),D191)</f>
        <v/>
      </c>
      <c r="E192" s="12">
        <f>VLOOKUP(A192,Inputs!$A$53:$C$55,2,TRUE)</f>
        <v/>
      </c>
      <c r="F192" s="12">
        <f>VLOOKUP(A192,Inputs!$A$53:$C$55,3,TRUE)</f>
        <v/>
      </c>
      <c r="G192" s="12">
        <f>MIN(F192,E192+0.03*MAX(0,MIN(1,(B192-C192)/(D192-C192))))</f>
        <v/>
      </c>
      <c r="H192" s="13">
        <f>MAX(0,0.09*(B192-C192)/12)</f>
        <v/>
      </c>
      <c r="I192" s="13">
        <f>K191*G192/12</f>
        <v/>
      </c>
      <c r="J192" s="13">
        <f>MIN(H192,K191+I192)</f>
        <v/>
      </c>
      <c r="K192" s="13">
        <f>MAX(0,K191+I192-J192)</f>
        <v/>
      </c>
      <c r="L192" s="13">
        <f>Inputs!$B$7+IF(AND(YEAR(A192)=YEAR(Inputs!$B$9),MONTH(A192)=MONTH(Inputs!$B$9)),Inputs!$B$8,0)</f>
        <v/>
      </c>
      <c r="M192" s="13">
        <f>O191*G192/12</f>
        <v/>
      </c>
      <c r="N192" s="13">
        <f>MIN(H192+L192,O191+M192)</f>
        <v/>
      </c>
      <c r="O192" s="13">
        <f>MAX(0,O191+M192-N192)</f>
        <v/>
      </c>
    </row>
    <row r="193">
      <c r="A193" s="11" t="n">
        <v>51926</v>
      </c>
      <c r="B193" s="15">
        <f>IF(MONTH(A193)=4,B192*(1+Inputs!$B$6),B192)</f>
        <v/>
      </c>
      <c r="C193" s="15">
        <f>IF(AND(MONTH(A193)=4,YEAR(A193)&gt;=Inputs!$B$20),C192*(1+Inputs!$B$21),C192)</f>
        <v/>
      </c>
      <c r="D193" s="15">
        <f>IF(AND(MONTH(A193)=4,YEAR(A193)&gt;=Inputs!$B$20),D192*(1+Inputs!$B$21),D192)</f>
        <v/>
      </c>
      <c r="E193" s="12">
        <f>VLOOKUP(A193,Inputs!$A$53:$C$55,2,TRUE)</f>
        <v/>
      </c>
      <c r="F193" s="12">
        <f>VLOOKUP(A193,Inputs!$A$53:$C$55,3,TRUE)</f>
        <v/>
      </c>
      <c r="G193" s="12">
        <f>MIN(F193,E193+0.03*MAX(0,MIN(1,(B193-C193)/(D193-C193))))</f>
        <v/>
      </c>
      <c r="H193" s="13">
        <f>MAX(0,0.09*(B193-C193)/12)</f>
        <v/>
      </c>
      <c r="I193" s="13">
        <f>K192*G193/12</f>
        <v/>
      </c>
      <c r="J193" s="13">
        <f>MIN(H193,K192+I193)</f>
        <v/>
      </c>
      <c r="K193" s="13">
        <f>MAX(0,K192+I193-J193)</f>
        <v/>
      </c>
      <c r="L193" s="13">
        <f>Inputs!$B$7+IF(AND(YEAR(A193)=YEAR(Inputs!$B$9),MONTH(A193)=MONTH(Inputs!$B$9)),Inputs!$B$8,0)</f>
        <v/>
      </c>
      <c r="M193" s="13">
        <f>O192*G193/12</f>
        <v/>
      </c>
      <c r="N193" s="13">
        <f>MIN(H193+L193,O192+M193)</f>
        <v/>
      </c>
      <c r="O193" s="13">
        <f>MAX(0,O192+M193-N193)</f>
        <v/>
      </c>
    </row>
    <row r="194">
      <c r="A194" s="11" t="n">
        <v>51957</v>
      </c>
      <c r="B194" s="15">
        <f>IF(MONTH(A194)=4,B193*(1+Inputs!$B$6),B193)</f>
        <v/>
      </c>
      <c r="C194" s="15">
        <f>IF(AND(MONTH(A194)=4,YEAR(A194)&gt;=Inputs!$B$20),C193*(1+Inputs!$B$21),C193)</f>
        <v/>
      </c>
      <c r="D194" s="15">
        <f>IF(AND(MONTH(A194)=4,YEAR(A194)&gt;=Inputs!$B$20),D193*(1+Inputs!$B$21),D193)</f>
        <v/>
      </c>
      <c r="E194" s="12">
        <f>VLOOKUP(A194,Inputs!$A$53:$C$55,2,TRUE)</f>
        <v/>
      </c>
      <c r="F194" s="12">
        <f>VLOOKUP(A194,Inputs!$A$53:$C$55,3,TRUE)</f>
        <v/>
      </c>
      <c r="G194" s="12">
        <f>MIN(F194,E194+0.03*MAX(0,MIN(1,(B194-C194)/(D194-C194))))</f>
        <v/>
      </c>
      <c r="H194" s="13">
        <f>MAX(0,0.09*(B194-C194)/12)</f>
        <v/>
      </c>
      <c r="I194" s="13">
        <f>K193*G194/12</f>
        <v/>
      </c>
      <c r="J194" s="13">
        <f>MIN(H194,K193+I194)</f>
        <v/>
      </c>
      <c r="K194" s="13">
        <f>MAX(0,K193+I194-J194)</f>
        <v/>
      </c>
      <c r="L194" s="13">
        <f>Inputs!$B$7+IF(AND(YEAR(A194)=YEAR(Inputs!$B$9),MONTH(A194)=MONTH(Inputs!$B$9)),Inputs!$B$8,0)</f>
        <v/>
      </c>
      <c r="M194" s="13">
        <f>O193*G194/12</f>
        <v/>
      </c>
      <c r="N194" s="13">
        <f>MIN(H194+L194,O193+M194)</f>
        <v/>
      </c>
      <c r="O194" s="13">
        <f>MAX(0,O193+M194-N194)</f>
        <v/>
      </c>
    </row>
    <row r="195">
      <c r="A195" s="11" t="n">
        <v>51987</v>
      </c>
      <c r="B195" s="15">
        <f>IF(MONTH(A195)=4,B194*(1+Inputs!$B$6),B194)</f>
        <v/>
      </c>
      <c r="C195" s="15">
        <f>IF(AND(MONTH(A195)=4,YEAR(A195)&gt;=Inputs!$B$20),C194*(1+Inputs!$B$21),C194)</f>
        <v/>
      </c>
      <c r="D195" s="15">
        <f>IF(AND(MONTH(A195)=4,YEAR(A195)&gt;=Inputs!$B$20),D194*(1+Inputs!$B$21),D194)</f>
        <v/>
      </c>
      <c r="E195" s="12">
        <f>VLOOKUP(A195,Inputs!$A$53:$C$55,2,TRUE)</f>
        <v/>
      </c>
      <c r="F195" s="12">
        <f>VLOOKUP(A195,Inputs!$A$53:$C$55,3,TRUE)</f>
        <v/>
      </c>
      <c r="G195" s="12">
        <f>MIN(F195,E195+0.03*MAX(0,MIN(1,(B195-C195)/(D195-C195))))</f>
        <v/>
      </c>
      <c r="H195" s="13">
        <f>MAX(0,0.09*(B195-C195)/12)</f>
        <v/>
      </c>
      <c r="I195" s="13">
        <f>K194*G195/12</f>
        <v/>
      </c>
      <c r="J195" s="13">
        <f>MIN(H195,K194+I195)</f>
        <v/>
      </c>
      <c r="K195" s="13">
        <f>MAX(0,K194+I195-J195)</f>
        <v/>
      </c>
      <c r="L195" s="13">
        <f>Inputs!$B$7+IF(AND(YEAR(A195)=YEAR(Inputs!$B$9),MONTH(A195)=MONTH(Inputs!$B$9)),Inputs!$B$8,0)</f>
        <v/>
      </c>
      <c r="M195" s="13">
        <f>O194*G195/12</f>
        <v/>
      </c>
      <c r="N195" s="13">
        <f>MIN(H195+L195,O194+M195)</f>
        <v/>
      </c>
      <c r="O195" s="13">
        <f>MAX(0,O194+M195-N195)</f>
        <v/>
      </c>
    </row>
    <row r="196">
      <c r="A196" s="11" t="n">
        <v>52018</v>
      </c>
      <c r="B196" s="15">
        <f>IF(MONTH(A196)=4,B195*(1+Inputs!$B$6),B195)</f>
        <v/>
      </c>
      <c r="C196" s="15">
        <f>IF(AND(MONTH(A196)=4,YEAR(A196)&gt;=Inputs!$B$20),C195*(1+Inputs!$B$21),C195)</f>
        <v/>
      </c>
      <c r="D196" s="15">
        <f>IF(AND(MONTH(A196)=4,YEAR(A196)&gt;=Inputs!$B$20),D195*(1+Inputs!$B$21),D195)</f>
        <v/>
      </c>
      <c r="E196" s="12">
        <f>VLOOKUP(A196,Inputs!$A$53:$C$55,2,TRUE)</f>
        <v/>
      </c>
      <c r="F196" s="12">
        <f>VLOOKUP(A196,Inputs!$A$53:$C$55,3,TRUE)</f>
        <v/>
      </c>
      <c r="G196" s="12">
        <f>MIN(F196,E196+0.03*MAX(0,MIN(1,(B196-C196)/(D196-C196))))</f>
        <v/>
      </c>
      <c r="H196" s="13">
        <f>MAX(0,0.09*(B196-C196)/12)</f>
        <v/>
      </c>
      <c r="I196" s="13">
        <f>K195*G196/12</f>
        <v/>
      </c>
      <c r="J196" s="13">
        <f>MIN(H196,K195+I196)</f>
        <v/>
      </c>
      <c r="K196" s="13">
        <f>MAX(0,K195+I196-J196)</f>
        <v/>
      </c>
      <c r="L196" s="13">
        <f>Inputs!$B$7+IF(AND(YEAR(A196)=YEAR(Inputs!$B$9),MONTH(A196)=MONTH(Inputs!$B$9)),Inputs!$B$8,0)</f>
        <v/>
      </c>
      <c r="M196" s="13">
        <f>O195*G196/12</f>
        <v/>
      </c>
      <c r="N196" s="13">
        <f>MIN(H196+L196,O195+M196)</f>
        <v/>
      </c>
      <c r="O196" s="13">
        <f>MAX(0,O195+M196-N196)</f>
        <v/>
      </c>
    </row>
    <row r="197">
      <c r="A197" s="11" t="n">
        <v>52048</v>
      </c>
      <c r="B197" s="15">
        <f>IF(MONTH(A197)=4,B196*(1+Inputs!$B$6),B196)</f>
        <v/>
      </c>
      <c r="C197" s="15">
        <f>IF(AND(MONTH(A197)=4,YEAR(A197)&gt;=Inputs!$B$20),C196*(1+Inputs!$B$21),C196)</f>
        <v/>
      </c>
      <c r="D197" s="15">
        <f>IF(AND(MONTH(A197)=4,YEAR(A197)&gt;=Inputs!$B$20),D196*(1+Inputs!$B$21),D196)</f>
        <v/>
      </c>
      <c r="E197" s="12">
        <f>VLOOKUP(A197,Inputs!$A$53:$C$55,2,TRUE)</f>
        <v/>
      </c>
      <c r="F197" s="12">
        <f>VLOOKUP(A197,Inputs!$A$53:$C$55,3,TRUE)</f>
        <v/>
      </c>
      <c r="G197" s="12">
        <f>MIN(F197,E197+0.03*MAX(0,MIN(1,(B197-C197)/(D197-C197))))</f>
        <v/>
      </c>
      <c r="H197" s="13">
        <f>MAX(0,0.09*(B197-C197)/12)</f>
        <v/>
      </c>
      <c r="I197" s="13">
        <f>K196*G197/12</f>
        <v/>
      </c>
      <c r="J197" s="13">
        <f>MIN(H197,K196+I197)</f>
        <v/>
      </c>
      <c r="K197" s="13">
        <f>MAX(0,K196+I197-J197)</f>
        <v/>
      </c>
      <c r="L197" s="13">
        <f>Inputs!$B$7+IF(AND(YEAR(A197)=YEAR(Inputs!$B$9),MONTH(A197)=MONTH(Inputs!$B$9)),Inputs!$B$8,0)</f>
        <v/>
      </c>
      <c r="M197" s="13">
        <f>O196*G197/12</f>
        <v/>
      </c>
      <c r="N197" s="13">
        <f>MIN(H197+L197,O196+M197)</f>
        <v/>
      </c>
      <c r="O197" s="13">
        <f>MAX(0,O196+M197-N197)</f>
        <v/>
      </c>
    </row>
    <row r="198">
      <c r="A198" s="11" t="n">
        <v>52079</v>
      </c>
      <c r="B198" s="15">
        <f>IF(MONTH(A198)=4,B197*(1+Inputs!$B$6),B197)</f>
        <v/>
      </c>
      <c r="C198" s="15">
        <f>IF(AND(MONTH(A198)=4,YEAR(A198)&gt;=Inputs!$B$20),C197*(1+Inputs!$B$21),C197)</f>
        <v/>
      </c>
      <c r="D198" s="15">
        <f>IF(AND(MONTH(A198)=4,YEAR(A198)&gt;=Inputs!$B$20),D197*(1+Inputs!$B$21),D197)</f>
        <v/>
      </c>
      <c r="E198" s="12">
        <f>VLOOKUP(A198,Inputs!$A$53:$C$55,2,TRUE)</f>
        <v/>
      </c>
      <c r="F198" s="12">
        <f>VLOOKUP(A198,Inputs!$A$53:$C$55,3,TRUE)</f>
        <v/>
      </c>
      <c r="G198" s="12">
        <f>MIN(F198,E198+0.03*MAX(0,MIN(1,(B198-C198)/(D198-C198))))</f>
        <v/>
      </c>
      <c r="H198" s="13">
        <f>MAX(0,0.09*(B198-C198)/12)</f>
        <v/>
      </c>
      <c r="I198" s="13">
        <f>K197*G198/12</f>
        <v/>
      </c>
      <c r="J198" s="13">
        <f>MIN(H198,K197+I198)</f>
        <v/>
      </c>
      <c r="K198" s="13">
        <f>MAX(0,K197+I198-J198)</f>
        <v/>
      </c>
      <c r="L198" s="13">
        <f>Inputs!$B$7+IF(AND(YEAR(A198)=YEAR(Inputs!$B$9),MONTH(A198)=MONTH(Inputs!$B$9)),Inputs!$B$8,0)</f>
        <v/>
      </c>
      <c r="M198" s="13">
        <f>O197*G198/12</f>
        <v/>
      </c>
      <c r="N198" s="13">
        <f>MIN(H198+L198,O197+M198)</f>
        <v/>
      </c>
      <c r="O198" s="13">
        <f>MAX(0,O197+M198-N198)</f>
        <v/>
      </c>
    </row>
    <row r="199">
      <c r="A199" s="11" t="n">
        <v>52110</v>
      </c>
      <c r="B199" s="15">
        <f>IF(MONTH(A199)=4,B198*(1+Inputs!$B$6),B198)</f>
        <v/>
      </c>
      <c r="C199" s="15">
        <f>IF(AND(MONTH(A199)=4,YEAR(A199)&gt;=Inputs!$B$20),C198*(1+Inputs!$B$21),C198)</f>
        <v/>
      </c>
      <c r="D199" s="15">
        <f>IF(AND(MONTH(A199)=4,YEAR(A199)&gt;=Inputs!$B$20),D198*(1+Inputs!$B$21),D198)</f>
        <v/>
      </c>
      <c r="E199" s="12">
        <f>VLOOKUP(A199,Inputs!$A$53:$C$55,2,TRUE)</f>
        <v/>
      </c>
      <c r="F199" s="12">
        <f>VLOOKUP(A199,Inputs!$A$53:$C$55,3,TRUE)</f>
        <v/>
      </c>
      <c r="G199" s="12">
        <f>MIN(F199,E199+0.03*MAX(0,MIN(1,(B199-C199)/(D199-C199))))</f>
        <v/>
      </c>
      <c r="H199" s="13">
        <f>MAX(0,0.09*(B199-C199)/12)</f>
        <v/>
      </c>
      <c r="I199" s="13">
        <f>K198*G199/12</f>
        <v/>
      </c>
      <c r="J199" s="13">
        <f>MIN(H199,K198+I199)</f>
        <v/>
      </c>
      <c r="K199" s="13">
        <f>MAX(0,K198+I199-J199)</f>
        <v/>
      </c>
      <c r="L199" s="13">
        <f>Inputs!$B$7+IF(AND(YEAR(A199)=YEAR(Inputs!$B$9),MONTH(A199)=MONTH(Inputs!$B$9)),Inputs!$B$8,0)</f>
        <v/>
      </c>
      <c r="M199" s="13">
        <f>O198*G199/12</f>
        <v/>
      </c>
      <c r="N199" s="13">
        <f>MIN(H199+L199,O198+M199)</f>
        <v/>
      </c>
      <c r="O199" s="13">
        <f>MAX(0,O198+M199-N199)</f>
        <v/>
      </c>
    </row>
    <row r="200">
      <c r="A200" s="11" t="n">
        <v>52140</v>
      </c>
      <c r="B200" s="15">
        <f>IF(MONTH(A200)=4,B199*(1+Inputs!$B$6),B199)</f>
        <v/>
      </c>
      <c r="C200" s="15">
        <f>IF(AND(MONTH(A200)=4,YEAR(A200)&gt;=Inputs!$B$20),C199*(1+Inputs!$B$21),C199)</f>
        <v/>
      </c>
      <c r="D200" s="15">
        <f>IF(AND(MONTH(A200)=4,YEAR(A200)&gt;=Inputs!$B$20),D199*(1+Inputs!$B$21),D199)</f>
        <v/>
      </c>
      <c r="E200" s="12">
        <f>VLOOKUP(A200,Inputs!$A$53:$C$55,2,TRUE)</f>
        <v/>
      </c>
      <c r="F200" s="12">
        <f>VLOOKUP(A200,Inputs!$A$53:$C$55,3,TRUE)</f>
        <v/>
      </c>
      <c r="G200" s="12">
        <f>MIN(F200,E200+0.03*MAX(0,MIN(1,(B200-C200)/(D200-C200))))</f>
        <v/>
      </c>
      <c r="H200" s="13">
        <f>MAX(0,0.09*(B200-C200)/12)</f>
        <v/>
      </c>
      <c r="I200" s="13">
        <f>K199*G200/12</f>
        <v/>
      </c>
      <c r="J200" s="13">
        <f>MIN(H200,K199+I200)</f>
        <v/>
      </c>
      <c r="K200" s="13">
        <f>MAX(0,K199+I200-J200)</f>
        <v/>
      </c>
      <c r="L200" s="13">
        <f>Inputs!$B$7+IF(AND(YEAR(A200)=YEAR(Inputs!$B$9),MONTH(A200)=MONTH(Inputs!$B$9)),Inputs!$B$8,0)</f>
        <v/>
      </c>
      <c r="M200" s="13">
        <f>O199*G200/12</f>
        <v/>
      </c>
      <c r="N200" s="13">
        <f>MIN(H200+L200,O199+M200)</f>
        <v/>
      </c>
      <c r="O200" s="13">
        <f>MAX(0,O199+M200-N200)</f>
        <v/>
      </c>
    </row>
    <row r="201">
      <c r="A201" s="11" t="n">
        <v>52171</v>
      </c>
      <c r="B201" s="15">
        <f>IF(MONTH(A201)=4,B200*(1+Inputs!$B$6),B200)</f>
        <v/>
      </c>
      <c r="C201" s="15">
        <f>IF(AND(MONTH(A201)=4,YEAR(A201)&gt;=Inputs!$B$20),C200*(1+Inputs!$B$21),C200)</f>
        <v/>
      </c>
      <c r="D201" s="15">
        <f>IF(AND(MONTH(A201)=4,YEAR(A201)&gt;=Inputs!$B$20),D200*(1+Inputs!$B$21),D200)</f>
        <v/>
      </c>
      <c r="E201" s="12">
        <f>VLOOKUP(A201,Inputs!$A$53:$C$55,2,TRUE)</f>
        <v/>
      </c>
      <c r="F201" s="12">
        <f>VLOOKUP(A201,Inputs!$A$53:$C$55,3,TRUE)</f>
        <v/>
      </c>
      <c r="G201" s="12">
        <f>MIN(F201,E201+0.03*MAX(0,MIN(1,(B201-C201)/(D201-C201))))</f>
        <v/>
      </c>
      <c r="H201" s="13">
        <f>MAX(0,0.09*(B201-C201)/12)</f>
        <v/>
      </c>
      <c r="I201" s="13">
        <f>K200*G201/12</f>
        <v/>
      </c>
      <c r="J201" s="13">
        <f>MIN(H201,K200+I201)</f>
        <v/>
      </c>
      <c r="K201" s="13">
        <f>MAX(0,K200+I201-J201)</f>
        <v/>
      </c>
      <c r="L201" s="13">
        <f>Inputs!$B$7+IF(AND(YEAR(A201)=YEAR(Inputs!$B$9),MONTH(A201)=MONTH(Inputs!$B$9)),Inputs!$B$8,0)</f>
        <v/>
      </c>
      <c r="M201" s="13">
        <f>O200*G201/12</f>
        <v/>
      </c>
      <c r="N201" s="13">
        <f>MIN(H201+L201,O200+M201)</f>
        <v/>
      </c>
      <c r="O201" s="13">
        <f>MAX(0,O200+M201-N201)</f>
        <v/>
      </c>
    </row>
    <row r="202">
      <c r="A202" s="11" t="n">
        <v>52201</v>
      </c>
      <c r="B202" s="15">
        <f>IF(MONTH(A202)=4,B201*(1+Inputs!$B$6),B201)</f>
        <v/>
      </c>
      <c r="C202" s="15">
        <f>IF(AND(MONTH(A202)=4,YEAR(A202)&gt;=Inputs!$B$20),C201*(1+Inputs!$B$21),C201)</f>
        <v/>
      </c>
      <c r="D202" s="15">
        <f>IF(AND(MONTH(A202)=4,YEAR(A202)&gt;=Inputs!$B$20),D201*(1+Inputs!$B$21),D201)</f>
        <v/>
      </c>
      <c r="E202" s="12">
        <f>VLOOKUP(A202,Inputs!$A$53:$C$55,2,TRUE)</f>
        <v/>
      </c>
      <c r="F202" s="12">
        <f>VLOOKUP(A202,Inputs!$A$53:$C$55,3,TRUE)</f>
        <v/>
      </c>
      <c r="G202" s="12">
        <f>MIN(F202,E202+0.03*MAX(0,MIN(1,(B202-C202)/(D202-C202))))</f>
        <v/>
      </c>
      <c r="H202" s="13">
        <f>MAX(0,0.09*(B202-C202)/12)</f>
        <v/>
      </c>
      <c r="I202" s="13">
        <f>K201*G202/12</f>
        <v/>
      </c>
      <c r="J202" s="13">
        <f>MIN(H202,K201+I202)</f>
        <v/>
      </c>
      <c r="K202" s="13">
        <f>MAX(0,K201+I202-J202)</f>
        <v/>
      </c>
      <c r="L202" s="13">
        <f>Inputs!$B$7+IF(AND(YEAR(A202)=YEAR(Inputs!$B$9),MONTH(A202)=MONTH(Inputs!$B$9)),Inputs!$B$8,0)</f>
        <v/>
      </c>
      <c r="M202" s="13">
        <f>O201*G202/12</f>
        <v/>
      </c>
      <c r="N202" s="13">
        <f>MIN(H202+L202,O201+M202)</f>
        <v/>
      </c>
      <c r="O202" s="13">
        <f>MAX(0,O201+M202-N202)</f>
        <v/>
      </c>
    </row>
    <row r="203">
      <c r="A203" s="11" t="n">
        <v>52232</v>
      </c>
      <c r="B203" s="15">
        <f>IF(MONTH(A203)=4,B202*(1+Inputs!$B$6),B202)</f>
        <v/>
      </c>
      <c r="C203" s="15">
        <f>IF(AND(MONTH(A203)=4,YEAR(A203)&gt;=Inputs!$B$20),C202*(1+Inputs!$B$21),C202)</f>
        <v/>
      </c>
      <c r="D203" s="15">
        <f>IF(AND(MONTH(A203)=4,YEAR(A203)&gt;=Inputs!$B$20),D202*(1+Inputs!$B$21),D202)</f>
        <v/>
      </c>
      <c r="E203" s="12">
        <f>VLOOKUP(A203,Inputs!$A$53:$C$55,2,TRUE)</f>
        <v/>
      </c>
      <c r="F203" s="12">
        <f>VLOOKUP(A203,Inputs!$A$53:$C$55,3,TRUE)</f>
        <v/>
      </c>
      <c r="G203" s="12">
        <f>MIN(F203,E203+0.03*MAX(0,MIN(1,(B203-C203)/(D203-C203))))</f>
        <v/>
      </c>
      <c r="H203" s="13">
        <f>MAX(0,0.09*(B203-C203)/12)</f>
        <v/>
      </c>
      <c r="I203" s="13">
        <f>K202*G203/12</f>
        <v/>
      </c>
      <c r="J203" s="13">
        <f>MIN(H203,K202+I203)</f>
        <v/>
      </c>
      <c r="K203" s="13">
        <f>MAX(0,K202+I203-J203)</f>
        <v/>
      </c>
      <c r="L203" s="13">
        <f>Inputs!$B$7+IF(AND(YEAR(A203)=YEAR(Inputs!$B$9),MONTH(A203)=MONTH(Inputs!$B$9)),Inputs!$B$8,0)</f>
        <v/>
      </c>
      <c r="M203" s="13">
        <f>O202*G203/12</f>
        <v/>
      </c>
      <c r="N203" s="13">
        <f>MIN(H203+L203,O202+M203)</f>
        <v/>
      </c>
      <c r="O203" s="13">
        <f>MAX(0,O202+M203-N203)</f>
        <v/>
      </c>
    </row>
    <row r="204">
      <c r="A204" s="11" t="n">
        <v>52263</v>
      </c>
      <c r="B204" s="15">
        <f>IF(MONTH(A204)=4,B203*(1+Inputs!$B$6),B203)</f>
        <v/>
      </c>
      <c r="C204" s="15">
        <f>IF(AND(MONTH(A204)=4,YEAR(A204)&gt;=Inputs!$B$20),C203*(1+Inputs!$B$21),C203)</f>
        <v/>
      </c>
      <c r="D204" s="15">
        <f>IF(AND(MONTH(A204)=4,YEAR(A204)&gt;=Inputs!$B$20),D203*(1+Inputs!$B$21),D203)</f>
        <v/>
      </c>
      <c r="E204" s="12">
        <f>VLOOKUP(A204,Inputs!$A$53:$C$55,2,TRUE)</f>
        <v/>
      </c>
      <c r="F204" s="12">
        <f>VLOOKUP(A204,Inputs!$A$53:$C$55,3,TRUE)</f>
        <v/>
      </c>
      <c r="G204" s="12">
        <f>MIN(F204,E204+0.03*MAX(0,MIN(1,(B204-C204)/(D204-C204))))</f>
        <v/>
      </c>
      <c r="H204" s="13">
        <f>MAX(0,0.09*(B204-C204)/12)</f>
        <v/>
      </c>
      <c r="I204" s="13">
        <f>K203*G204/12</f>
        <v/>
      </c>
      <c r="J204" s="13">
        <f>MIN(H204,K203+I204)</f>
        <v/>
      </c>
      <c r="K204" s="13">
        <f>MAX(0,K203+I204-J204)</f>
        <v/>
      </c>
      <c r="L204" s="13">
        <f>Inputs!$B$7+IF(AND(YEAR(A204)=YEAR(Inputs!$B$9),MONTH(A204)=MONTH(Inputs!$B$9)),Inputs!$B$8,0)</f>
        <v/>
      </c>
      <c r="M204" s="13">
        <f>O203*G204/12</f>
        <v/>
      </c>
      <c r="N204" s="13">
        <f>MIN(H204+L204,O203+M204)</f>
        <v/>
      </c>
      <c r="O204" s="13">
        <f>MAX(0,O203+M204-N204)</f>
        <v/>
      </c>
    </row>
    <row r="205">
      <c r="A205" s="11" t="n">
        <v>52291</v>
      </c>
      <c r="B205" s="15">
        <f>IF(MONTH(A205)=4,B204*(1+Inputs!$B$6),B204)</f>
        <v/>
      </c>
      <c r="C205" s="15">
        <f>IF(AND(MONTH(A205)=4,YEAR(A205)&gt;=Inputs!$B$20),C204*(1+Inputs!$B$21),C204)</f>
        <v/>
      </c>
      <c r="D205" s="15">
        <f>IF(AND(MONTH(A205)=4,YEAR(A205)&gt;=Inputs!$B$20),D204*(1+Inputs!$B$21),D204)</f>
        <v/>
      </c>
      <c r="E205" s="12">
        <f>VLOOKUP(A205,Inputs!$A$53:$C$55,2,TRUE)</f>
        <v/>
      </c>
      <c r="F205" s="12">
        <f>VLOOKUP(A205,Inputs!$A$53:$C$55,3,TRUE)</f>
        <v/>
      </c>
      <c r="G205" s="12">
        <f>MIN(F205,E205+0.03*MAX(0,MIN(1,(B205-C205)/(D205-C205))))</f>
        <v/>
      </c>
      <c r="H205" s="13">
        <f>MAX(0,0.09*(B205-C205)/12)</f>
        <v/>
      </c>
      <c r="I205" s="13">
        <f>K204*G205/12</f>
        <v/>
      </c>
      <c r="J205" s="13">
        <f>MIN(H205,K204+I205)</f>
        <v/>
      </c>
      <c r="K205" s="13">
        <f>MAX(0,K204+I205-J205)</f>
        <v/>
      </c>
      <c r="L205" s="13">
        <f>Inputs!$B$7+IF(AND(YEAR(A205)=YEAR(Inputs!$B$9),MONTH(A205)=MONTH(Inputs!$B$9)),Inputs!$B$8,0)</f>
        <v/>
      </c>
      <c r="M205" s="13">
        <f>O204*G205/12</f>
        <v/>
      </c>
      <c r="N205" s="13">
        <f>MIN(H205+L205,O204+M205)</f>
        <v/>
      </c>
      <c r="O205" s="13">
        <f>MAX(0,O204+M205-N205)</f>
        <v/>
      </c>
    </row>
    <row r="206">
      <c r="A206" s="11" t="n">
        <v>52322</v>
      </c>
      <c r="B206" s="15">
        <f>IF(MONTH(A206)=4,B205*(1+Inputs!$B$6),B205)</f>
        <v/>
      </c>
      <c r="C206" s="15">
        <f>IF(AND(MONTH(A206)=4,YEAR(A206)&gt;=Inputs!$B$20),C205*(1+Inputs!$B$21),C205)</f>
        <v/>
      </c>
      <c r="D206" s="15">
        <f>IF(AND(MONTH(A206)=4,YEAR(A206)&gt;=Inputs!$B$20),D205*(1+Inputs!$B$21),D205)</f>
        <v/>
      </c>
      <c r="E206" s="12">
        <f>VLOOKUP(A206,Inputs!$A$53:$C$55,2,TRUE)</f>
        <v/>
      </c>
      <c r="F206" s="12">
        <f>VLOOKUP(A206,Inputs!$A$53:$C$55,3,TRUE)</f>
        <v/>
      </c>
      <c r="G206" s="12">
        <f>MIN(F206,E206+0.03*MAX(0,MIN(1,(B206-C206)/(D206-C206))))</f>
        <v/>
      </c>
      <c r="H206" s="13">
        <f>MAX(0,0.09*(B206-C206)/12)</f>
        <v/>
      </c>
      <c r="I206" s="13">
        <f>K205*G206/12</f>
        <v/>
      </c>
      <c r="J206" s="13">
        <f>MIN(H206,K205+I206)</f>
        <v/>
      </c>
      <c r="K206" s="13">
        <f>MAX(0,K205+I206-J206)</f>
        <v/>
      </c>
      <c r="L206" s="13">
        <f>Inputs!$B$7+IF(AND(YEAR(A206)=YEAR(Inputs!$B$9),MONTH(A206)=MONTH(Inputs!$B$9)),Inputs!$B$8,0)</f>
        <v/>
      </c>
      <c r="M206" s="13">
        <f>O205*G206/12</f>
        <v/>
      </c>
      <c r="N206" s="13">
        <f>MIN(H206+L206,O205+M206)</f>
        <v/>
      </c>
      <c r="O206" s="13">
        <f>MAX(0,O205+M206-N206)</f>
        <v/>
      </c>
    </row>
    <row r="207">
      <c r="A207" s="11" t="n">
        <v>52352</v>
      </c>
      <c r="B207" s="15">
        <f>IF(MONTH(A207)=4,B206*(1+Inputs!$B$6),B206)</f>
        <v/>
      </c>
      <c r="C207" s="15">
        <f>IF(AND(MONTH(A207)=4,YEAR(A207)&gt;=Inputs!$B$20),C206*(1+Inputs!$B$21),C206)</f>
        <v/>
      </c>
      <c r="D207" s="15">
        <f>IF(AND(MONTH(A207)=4,YEAR(A207)&gt;=Inputs!$B$20),D206*(1+Inputs!$B$21),D206)</f>
        <v/>
      </c>
      <c r="E207" s="12">
        <f>VLOOKUP(A207,Inputs!$A$53:$C$55,2,TRUE)</f>
        <v/>
      </c>
      <c r="F207" s="12">
        <f>VLOOKUP(A207,Inputs!$A$53:$C$55,3,TRUE)</f>
        <v/>
      </c>
      <c r="G207" s="12">
        <f>MIN(F207,E207+0.03*MAX(0,MIN(1,(B207-C207)/(D207-C207))))</f>
        <v/>
      </c>
      <c r="H207" s="13">
        <f>MAX(0,0.09*(B207-C207)/12)</f>
        <v/>
      </c>
      <c r="I207" s="13">
        <f>K206*G207/12</f>
        <v/>
      </c>
      <c r="J207" s="13">
        <f>MIN(H207,K206+I207)</f>
        <v/>
      </c>
      <c r="K207" s="13">
        <f>MAX(0,K206+I207-J207)</f>
        <v/>
      </c>
      <c r="L207" s="13">
        <f>Inputs!$B$7+IF(AND(YEAR(A207)=YEAR(Inputs!$B$9),MONTH(A207)=MONTH(Inputs!$B$9)),Inputs!$B$8,0)</f>
        <v/>
      </c>
      <c r="M207" s="13">
        <f>O206*G207/12</f>
        <v/>
      </c>
      <c r="N207" s="13">
        <f>MIN(H207+L207,O206+M207)</f>
        <v/>
      </c>
      <c r="O207" s="13">
        <f>MAX(0,O206+M207-N207)</f>
        <v/>
      </c>
    </row>
    <row r="208">
      <c r="A208" s="11" t="n">
        <v>52383</v>
      </c>
      <c r="B208" s="15">
        <f>IF(MONTH(A208)=4,B207*(1+Inputs!$B$6),B207)</f>
        <v/>
      </c>
      <c r="C208" s="15">
        <f>IF(AND(MONTH(A208)=4,YEAR(A208)&gt;=Inputs!$B$20),C207*(1+Inputs!$B$21),C207)</f>
        <v/>
      </c>
      <c r="D208" s="15">
        <f>IF(AND(MONTH(A208)=4,YEAR(A208)&gt;=Inputs!$B$20),D207*(1+Inputs!$B$21),D207)</f>
        <v/>
      </c>
      <c r="E208" s="12">
        <f>VLOOKUP(A208,Inputs!$A$53:$C$55,2,TRUE)</f>
        <v/>
      </c>
      <c r="F208" s="12">
        <f>VLOOKUP(A208,Inputs!$A$53:$C$55,3,TRUE)</f>
        <v/>
      </c>
      <c r="G208" s="12">
        <f>MIN(F208,E208+0.03*MAX(0,MIN(1,(B208-C208)/(D208-C208))))</f>
        <v/>
      </c>
      <c r="H208" s="13">
        <f>MAX(0,0.09*(B208-C208)/12)</f>
        <v/>
      </c>
      <c r="I208" s="13">
        <f>K207*G208/12</f>
        <v/>
      </c>
      <c r="J208" s="13">
        <f>MIN(H208,K207+I208)</f>
        <v/>
      </c>
      <c r="K208" s="13">
        <f>MAX(0,K207+I208-J208)</f>
        <v/>
      </c>
      <c r="L208" s="13">
        <f>Inputs!$B$7+IF(AND(YEAR(A208)=YEAR(Inputs!$B$9),MONTH(A208)=MONTH(Inputs!$B$9)),Inputs!$B$8,0)</f>
        <v/>
      </c>
      <c r="M208" s="13">
        <f>O207*G208/12</f>
        <v/>
      </c>
      <c r="N208" s="13">
        <f>MIN(H208+L208,O207+M208)</f>
        <v/>
      </c>
      <c r="O208" s="13">
        <f>MAX(0,O207+M208-N208)</f>
        <v/>
      </c>
    </row>
    <row r="209">
      <c r="A209" s="11" t="n">
        <v>52413</v>
      </c>
      <c r="B209" s="15">
        <f>IF(MONTH(A209)=4,B208*(1+Inputs!$B$6),B208)</f>
        <v/>
      </c>
      <c r="C209" s="15">
        <f>IF(AND(MONTH(A209)=4,YEAR(A209)&gt;=Inputs!$B$20),C208*(1+Inputs!$B$21),C208)</f>
        <v/>
      </c>
      <c r="D209" s="15">
        <f>IF(AND(MONTH(A209)=4,YEAR(A209)&gt;=Inputs!$B$20),D208*(1+Inputs!$B$21),D208)</f>
        <v/>
      </c>
      <c r="E209" s="12">
        <f>VLOOKUP(A209,Inputs!$A$53:$C$55,2,TRUE)</f>
        <v/>
      </c>
      <c r="F209" s="12">
        <f>VLOOKUP(A209,Inputs!$A$53:$C$55,3,TRUE)</f>
        <v/>
      </c>
      <c r="G209" s="12">
        <f>MIN(F209,E209+0.03*MAX(0,MIN(1,(B209-C209)/(D209-C209))))</f>
        <v/>
      </c>
      <c r="H209" s="13">
        <f>MAX(0,0.09*(B209-C209)/12)</f>
        <v/>
      </c>
      <c r="I209" s="13">
        <f>K208*G209/12</f>
        <v/>
      </c>
      <c r="J209" s="13">
        <f>MIN(H209,K208+I209)</f>
        <v/>
      </c>
      <c r="K209" s="13">
        <f>MAX(0,K208+I209-J209)</f>
        <v/>
      </c>
      <c r="L209" s="13">
        <f>Inputs!$B$7+IF(AND(YEAR(A209)=YEAR(Inputs!$B$9),MONTH(A209)=MONTH(Inputs!$B$9)),Inputs!$B$8,0)</f>
        <v/>
      </c>
      <c r="M209" s="13">
        <f>O208*G209/12</f>
        <v/>
      </c>
      <c r="N209" s="13">
        <f>MIN(H209+L209,O208+M209)</f>
        <v/>
      </c>
      <c r="O209" s="13">
        <f>MAX(0,O208+M209-N209)</f>
        <v/>
      </c>
    </row>
    <row r="210">
      <c r="A210" s="11" t="n">
        <v>52444</v>
      </c>
      <c r="B210" s="15">
        <f>IF(MONTH(A210)=4,B209*(1+Inputs!$B$6),B209)</f>
        <v/>
      </c>
      <c r="C210" s="15">
        <f>IF(AND(MONTH(A210)=4,YEAR(A210)&gt;=Inputs!$B$20),C209*(1+Inputs!$B$21),C209)</f>
        <v/>
      </c>
      <c r="D210" s="15">
        <f>IF(AND(MONTH(A210)=4,YEAR(A210)&gt;=Inputs!$B$20),D209*(1+Inputs!$B$21),D209)</f>
        <v/>
      </c>
      <c r="E210" s="12">
        <f>VLOOKUP(A210,Inputs!$A$53:$C$55,2,TRUE)</f>
        <v/>
      </c>
      <c r="F210" s="12">
        <f>VLOOKUP(A210,Inputs!$A$53:$C$55,3,TRUE)</f>
        <v/>
      </c>
      <c r="G210" s="12">
        <f>MIN(F210,E210+0.03*MAX(0,MIN(1,(B210-C210)/(D210-C210))))</f>
        <v/>
      </c>
      <c r="H210" s="13">
        <f>MAX(0,0.09*(B210-C210)/12)</f>
        <v/>
      </c>
      <c r="I210" s="13">
        <f>K209*G210/12</f>
        <v/>
      </c>
      <c r="J210" s="13">
        <f>MIN(H210,K209+I210)</f>
        <v/>
      </c>
      <c r="K210" s="13">
        <f>MAX(0,K209+I210-J210)</f>
        <v/>
      </c>
      <c r="L210" s="13">
        <f>Inputs!$B$7+IF(AND(YEAR(A210)=YEAR(Inputs!$B$9),MONTH(A210)=MONTH(Inputs!$B$9)),Inputs!$B$8,0)</f>
        <v/>
      </c>
      <c r="M210" s="13">
        <f>O209*G210/12</f>
        <v/>
      </c>
      <c r="N210" s="13">
        <f>MIN(H210+L210,O209+M210)</f>
        <v/>
      </c>
      <c r="O210" s="13">
        <f>MAX(0,O209+M210-N210)</f>
        <v/>
      </c>
    </row>
    <row r="211">
      <c r="A211" s="11" t="n">
        <v>52475</v>
      </c>
      <c r="B211" s="15">
        <f>IF(MONTH(A211)=4,B210*(1+Inputs!$B$6),B210)</f>
        <v/>
      </c>
      <c r="C211" s="15">
        <f>IF(AND(MONTH(A211)=4,YEAR(A211)&gt;=Inputs!$B$20),C210*(1+Inputs!$B$21),C210)</f>
        <v/>
      </c>
      <c r="D211" s="15">
        <f>IF(AND(MONTH(A211)=4,YEAR(A211)&gt;=Inputs!$B$20),D210*(1+Inputs!$B$21),D210)</f>
        <v/>
      </c>
      <c r="E211" s="12">
        <f>VLOOKUP(A211,Inputs!$A$53:$C$55,2,TRUE)</f>
        <v/>
      </c>
      <c r="F211" s="12">
        <f>VLOOKUP(A211,Inputs!$A$53:$C$55,3,TRUE)</f>
        <v/>
      </c>
      <c r="G211" s="12">
        <f>MIN(F211,E211+0.03*MAX(0,MIN(1,(B211-C211)/(D211-C211))))</f>
        <v/>
      </c>
      <c r="H211" s="13">
        <f>MAX(0,0.09*(B211-C211)/12)</f>
        <v/>
      </c>
      <c r="I211" s="13">
        <f>K210*G211/12</f>
        <v/>
      </c>
      <c r="J211" s="13">
        <f>MIN(H211,K210+I211)</f>
        <v/>
      </c>
      <c r="K211" s="13">
        <f>MAX(0,K210+I211-J211)</f>
        <v/>
      </c>
      <c r="L211" s="13">
        <f>Inputs!$B$7+IF(AND(YEAR(A211)=YEAR(Inputs!$B$9),MONTH(A211)=MONTH(Inputs!$B$9)),Inputs!$B$8,0)</f>
        <v/>
      </c>
      <c r="M211" s="13">
        <f>O210*G211/12</f>
        <v/>
      </c>
      <c r="N211" s="13">
        <f>MIN(H211+L211,O210+M211)</f>
        <v/>
      </c>
      <c r="O211" s="13">
        <f>MAX(0,O210+M211-N211)</f>
        <v/>
      </c>
    </row>
    <row r="212">
      <c r="A212" s="11" t="n">
        <v>52505</v>
      </c>
      <c r="B212" s="15">
        <f>IF(MONTH(A212)=4,B211*(1+Inputs!$B$6),B211)</f>
        <v/>
      </c>
      <c r="C212" s="15">
        <f>IF(AND(MONTH(A212)=4,YEAR(A212)&gt;=Inputs!$B$20),C211*(1+Inputs!$B$21),C211)</f>
        <v/>
      </c>
      <c r="D212" s="15">
        <f>IF(AND(MONTH(A212)=4,YEAR(A212)&gt;=Inputs!$B$20),D211*(1+Inputs!$B$21),D211)</f>
        <v/>
      </c>
      <c r="E212" s="12">
        <f>VLOOKUP(A212,Inputs!$A$53:$C$55,2,TRUE)</f>
        <v/>
      </c>
      <c r="F212" s="12">
        <f>VLOOKUP(A212,Inputs!$A$53:$C$55,3,TRUE)</f>
        <v/>
      </c>
      <c r="G212" s="12">
        <f>MIN(F212,E212+0.03*MAX(0,MIN(1,(B212-C212)/(D212-C212))))</f>
        <v/>
      </c>
      <c r="H212" s="13">
        <f>MAX(0,0.09*(B212-C212)/12)</f>
        <v/>
      </c>
      <c r="I212" s="13">
        <f>K211*G212/12</f>
        <v/>
      </c>
      <c r="J212" s="13">
        <f>MIN(H212,K211+I212)</f>
        <v/>
      </c>
      <c r="K212" s="13">
        <f>MAX(0,K211+I212-J212)</f>
        <v/>
      </c>
      <c r="L212" s="13">
        <f>Inputs!$B$7+IF(AND(YEAR(A212)=YEAR(Inputs!$B$9),MONTH(A212)=MONTH(Inputs!$B$9)),Inputs!$B$8,0)</f>
        <v/>
      </c>
      <c r="M212" s="13">
        <f>O211*G212/12</f>
        <v/>
      </c>
      <c r="N212" s="13">
        <f>MIN(H212+L212,O211+M212)</f>
        <v/>
      </c>
      <c r="O212" s="13">
        <f>MAX(0,O211+M212-N212)</f>
        <v/>
      </c>
    </row>
    <row r="213">
      <c r="A213" s="11" t="n">
        <v>52536</v>
      </c>
      <c r="B213" s="15">
        <f>IF(MONTH(A213)=4,B212*(1+Inputs!$B$6),B212)</f>
        <v/>
      </c>
      <c r="C213" s="15">
        <f>IF(AND(MONTH(A213)=4,YEAR(A213)&gt;=Inputs!$B$20),C212*(1+Inputs!$B$21),C212)</f>
        <v/>
      </c>
      <c r="D213" s="15">
        <f>IF(AND(MONTH(A213)=4,YEAR(A213)&gt;=Inputs!$B$20),D212*(1+Inputs!$B$21),D212)</f>
        <v/>
      </c>
      <c r="E213" s="12">
        <f>VLOOKUP(A213,Inputs!$A$53:$C$55,2,TRUE)</f>
        <v/>
      </c>
      <c r="F213" s="12">
        <f>VLOOKUP(A213,Inputs!$A$53:$C$55,3,TRUE)</f>
        <v/>
      </c>
      <c r="G213" s="12">
        <f>MIN(F213,E213+0.03*MAX(0,MIN(1,(B213-C213)/(D213-C213))))</f>
        <v/>
      </c>
      <c r="H213" s="13">
        <f>MAX(0,0.09*(B213-C213)/12)</f>
        <v/>
      </c>
      <c r="I213" s="13">
        <f>K212*G213/12</f>
        <v/>
      </c>
      <c r="J213" s="13">
        <f>MIN(H213,K212+I213)</f>
        <v/>
      </c>
      <c r="K213" s="13">
        <f>MAX(0,K212+I213-J213)</f>
        <v/>
      </c>
      <c r="L213" s="13">
        <f>Inputs!$B$7+IF(AND(YEAR(A213)=YEAR(Inputs!$B$9),MONTH(A213)=MONTH(Inputs!$B$9)),Inputs!$B$8,0)</f>
        <v/>
      </c>
      <c r="M213" s="13">
        <f>O212*G213/12</f>
        <v/>
      </c>
      <c r="N213" s="13">
        <f>MIN(H213+L213,O212+M213)</f>
        <v/>
      </c>
      <c r="O213" s="13">
        <f>MAX(0,O212+M213-N213)</f>
        <v/>
      </c>
    </row>
    <row r="214">
      <c r="A214" s="11" t="n">
        <v>52566</v>
      </c>
      <c r="B214" s="15">
        <f>IF(MONTH(A214)=4,B213*(1+Inputs!$B$6),B213)</f>
        <v/>
      </c>
      <c r="C214" s="15">
        <f>IF(AND(MONTH(A214)=4,YEAR(A214)&gt;=Inputs!$B$20),C213*(1+Inputs!$B$21),C213)</f>
        <v/>
      </c>
      <c r="D214" s="15">
        <f>IF(AND(MONTH(A214)=4,YEAR(A214)&gt;=Inputs!$B$20),D213*(1+Inputs!$B$21),D213)</f>
        <v/>
      </c>
      <c r="E214" s="12">
        <f>VLOOKUP(A214,Inputs!$A$53:$C$55,2,TRUE)</f>
        <v/>
      </c>
      <c r="F214" s="12">
        <f>VLOOKUP(A214,Inputs!$A$53:$C$55,3,TRUE)</f>
        <v/>
      </c>
      <c r="G214" s="12">
        <f>MIN(F214,E214+0.03*MAX(0,MIN(1,(B214-C214)/(D214-C214))))</f>
        <v/>
      </c>
      <c r="H214" s="13">
        <f>MAX(0,0.09*(B214-C214)/12)</f>
        <v/>
      </c>
      <c r="I214" s="13">
        <f>K213*G214/12</f>
        <v/>
      </c>
      <c r="J214" s="13">
        <f>MIN(H214,K213+I214)</f>
        <v/>
      </c>
      <c r="K214" s="13">
        <f>MAX(0,K213+I214-J214)</f>
        <v/>
      </c>
      <c r="L214" s="13">
        <f>Inputs!$B$7+IF(AND(YEAR(A214)=YEAR(Inputs!$B$9),MONTH(A214)=MONTH(Inputs!$B$9)),Inputs!$B$8,0)</f>
        <v/>
      </c>
      <c r="M214" s="13">
        <f>O213*G214/12</f>
        <v/>
      </c>
      <c r="N214" s="13">
        <f>MIN(H214+L214,O213+M214)</f>
        <v/>
      </c>
      <c r="O214" s="13">
        <f>MAX(0,O213+M214-N214)</f>
        <v/>
      </c>
    </row>
    <row r="215">
      <c r="A215" s="11" t="n">
        <v>52597</v>
      </c>
      <c r="B215" s="15">
        <f>IF(MONTH(A215)=4,B214*(1+Inputs!$B$6),B214)</f>
        <v/>
      </c>
      <c r="C215" s="15">
        <f>IF(AND(MONTH(A215)=4,YEAR(A215)&gt;=Inputs!$B$20),C214*(1+Inputs!$B$21),C214)</f>
        <v/>
      </c>
      <c r="D215" s="15">
        <f>IF(AND(MONTH(A215)=4,YEAR(A215)&gt;=Inputs!$B$20),D214*(1+Inputs!$B$21),D214)</f>
        <v/>
      </c>
      <c r="E215" s="12">
        <f>VLOOKUP(A215,Inputs!$A$53:$C$55,2,TRUE)</f>
        <v/>
      </c>
      <c r="F215" s="12">
        <f>VLOOKUP(A215,Inputs!$A$53:$C$55,3,TRUE)</f>
        <v/>
      </c>
      <c r="G215" s="12">
        <f>MIN(F215,E215+0.03*MAX(0,MIN(1,(B215-C215)/(D215-C215))))</f>
        <v/>
      </c>
      <c r="H215" s="13">
        <f>MAX(0,0.09*(B215-C215)/12)</f>
        <v/>
      </c>
      <c r="I215" s="13">
        <f>K214*G215/12</f>
        <v/>
      </c>
      <c r="J215" s="13">
        <f>MIN(H215,K214+I215)</f>
        <v/>
      </c>
      <c r="K215" s="13">
        <f>MAX(0,K214+I215-J215)</f>
        <v/>
      </c>
      <c r="L215" s="13">
        <f>Inputs!$B$7+IF(AND(YEAR(A215)=YEAR(Inputs!$B$9),MONTH(A215)=MONTH(Inputs!$B$9)),Inputs!$B$8,0)</f>
        <v/>
      </c>
      <c r="M215" s="13">
        <f>O214*G215/12</f>
        <v/>
      </c>
      <c r="N215" s="13">
        <f>MIN(H215+L215,O214+M215)</f>
        <v/>
      </c>
      <c r="O215" s="13">
        <f>MAX(0,O214+M215-N215)</f>
        <v/>
      </c>
    </row>
    <row r="216">
      <c r="A216" s="11" t="n">
        <v>52628</v>
      </c>
      <c r="B216" s="15">
        <f>IF(MONTH(A216)=4,B215*(1+Inputs!$B$6),B215)</f>
        <v/>
      </c>
      <c r="C216" s="15">
        <f>IF(AND(MONTH(A216)=4,YEAR(A216)&gt;=Inputs!$B$20),C215*(1+Inputs!$B$21),C215)</f>
        <v/>
      </c>
      <c r="D216" s="15">
        <f>IF(AND(MONTH(A216)=4,YEAR(A216)&gt;=Inputs!$B$20),D215*(1+Inputs!$B$21),D215)</f>
        <v/>
      </c>
      <c r="E216" s="12">
        <f>VLOOKUP(A216,Inputs!$A$53:$C$55,2,TRUE)</f>
        <v/>
      </c>
      <c r="F216" s="12">
        <f>VLOOKUP(A216,Inputs!$A$53:$C$55,3,TRUE)</f>
        <v/>
      </c>
      <c r="G216" s="12">
        <f>MIN(F216,E216+0.03*MAX(0,MIN(1,(B216-C216)/(D216-C216))))</f>
        <v/>
      </c>
      <c r="H216" s="13">
        <f>MAX(0,0.09*(B216-C216)/12)</f>
        <v/>
      </c>
      <c r="I216" s="13">
        <f>K215*G216/12</f>
        <v/>
      </c>
      <c r="J216" s="13">
        <f>MIN(H216,K215+I216)</f>
        <v/>
      </c>
      <c r="K216" s="13">
        <f>MAX(0,K215+I216-J216)</f>
        <v/>
      </c>
      <c r="L216" s="13">
        <f>Inputs!$B$7+IF(AND(YEAR(A216)=YEAR(Inputs!$B$9),MONTH(A216)=MONTH(Inputs!$B$9)),Inputs!$B$8,0)</f>
        <v/>
      </c>
      <c r="M216" s="13">
        <f>O215*G216/12</f>
        <v/>
      </c>
      <c r="N216" s="13">
        <f>MIN(H216+L216,O215+M216)</f>
        <v/>
      </c>
      <c r="O216" s="13">
        <f>MAX(0,O215+M216-N216)</f>
        <v/>
      </c>
    </row>
    <row r="217">
      <c r="A217" s="11" t="n">
        <v>52657</v>
      </c>
      <c r="B217" s="15">
        <f>IF(MONTH(A217)=4,B216*(1+Inputs!$B$6),B216)</f>
        <v/>
      </c>
      <c r="C217" s="15">
        <f>IF(AND(MONTH(A217)=4,YEAR(A217)&gt;=Inputs!$B$20),C216*(1+Inputs!$B$21),C216)</f>
        <v/>
      </c>
      <c r="D217" s="15">
        <f>IF(AND(MONTH(A217)=4,YEAR(A217)&gt;=Inputs!$B$20),D216*(1+Inputs!$B$21),D216)</f>
        <v/>
      </c>
      <c r="E217" s="12">
        <f>VLOOKUP(A217,Inputs!$A$53:$C$55,2,TRUE)</f>
        <v/>
      </c>
      <c r="F217" s="12">
        <f>VLOOKUP(A217,Inputs!$A$53:$C$55,3,TRUE)</f>
        <v/>
      </c>
      <c r="G217" s="12">
        <f>MIN(F217,E217+0.03*MAX(0,MIN(1,(B217-C217)/(D217-C217))))</f>
        <v/>
      </c>
      <c r="H217" s="13">
        <f>MAX(0,0.09*(B217-C217)/12)</f>
        <v/>
      </c>
      <c r="I217" s="13">
        <f>K216*G217/12</f>
        <v/>
      </c>
      <c r="J217" s="13">
        <f>MIN(H217,K216+I217)</f>
        <v/>
      </c>
      <c r="K217" s="13">
        <f>MAX(0,K216+I217-J217)</f>
        <v/>
      </c>
      <c r="L217" s="13">
        <f>Inputs!$B$7+IF(AND(YEAR(A217)=YEAR(Inputs!$B$9),MONTH(A217)=MONTH(Inputs!$B$9)),Inputs!$B$8,0)</f>
        <v/>
      </c>
      <c r="M217" s="13">
        <f>O216*G217/12</f>
        <v/>
      </c>
      <c r="N217" s="13">
        <f>MIN(H217+L217,O216+M217)</f>
        <v/>
      </c>
      <c r="O217" s="13">
        <f>MAX(0,O216+M217-N217)</f>
        <v/>
      </c>
    </row>
    <row r="218">
      <c r="A218" s="11" t="n">
        <v>52688</v>
      </c>
      <c r="B218" s="15">
        <f>IF(MONTH(A218)=4,B217*(1+Inputs!$B$6),B217)</f>
        <v/>
      </c>
      <c r="C218" s="15">
        <f>IF(AND(MONTH(A218)=4,YEAR(A218)&gt;=Inputs!$B$20),C217*(1+Inputs!$B$21),C217)</f>
        <v/>
      </c>
      <c r="D218" s="15">
        <f>IF(AND(MONTH(A218)=4,YEAR(A218)&gt;=Inputs!$B$20),D217*(1+Inputs!$B$21),D217)</f>
        <v/>
      </c>
      <c r="E218" s="12">
        <f>VLOOKUP(A218,Inputs!$A$53:$C$55,2,TRUE)</f>
        <v/>
      </c>
      <c r="F218" s="12">
        <f>VLOOKUP(A218,Inputs!$A$53:$C$55,3,TRUE)</f>
        <v/>
      </c>
      <c r="G218" s="12">
        <f>MIN(F218,E218+0.03*MAX(0,MIN(1,(B218-C218)/(D218-C218))))</f>
        <v/>
      </c>
      <c r="H218" s="13">
        <f>MAX(0,0.09*(B218-C218)/12)</f>
        <v/>
      </c>
      <c r="I218" s="13">
        <f>K217*G218/12</f>
        <v/>
      </c>
      <c r="J218" s="13">
        <f>MIN(H218,K217+I218)</f>
        <v/>
      </c>
      <c r="K218" s="13">
        <f>MAX(0,K217+I218-J218)</f>
        <v/>
      </c>
      <c r="L218" s="13">
        <f>Inputs!$B$7+IF(AND(YEAR(A218)=YEAR(Inputs!$B$9),MONTH(A218)=MONTH(Inputs!$B$9)),Inputs!$B$8,0)</f>
        <v/>
      </c>
      <c r="M218" s="13">
        <f>O217*G218/12</f>
        <v/>
      </c>
      <c r="N218" s="13">
        <f>MIN(H218+L218,O217+M218)</f>
        <v/>
      </c>
      <c r="O218" s="13">
        <f>MAX(0,O217+M218-N218)</f>
        <v/>
      </c>
    </row>
    <row r="219">
      <c r="A219" s="11" t="n">
        <v>52718</v>
      </c>
      <c r="B219" s="15">
        <f>IF(MONTH(A219)=4,B218*(1+Inputs!$B$6),B218)</f>
        <v/>
      </c>
      <c r="C219" s="15">
        <f>IF(AND(MONTH(A219)=4,YEAR(A219)&gt;=Inputs!$B$20),C218*(1+Inputs!$B$21),C218)</f>
        <v/>
      </c>
      <c r="D219" s="15">
        <f>IF(AND(MONTH(A219)=4,YEAR(A219)&gt;=Inputs!$B$20),D218*(1+Inputs!$B$21),D218)</f>
        <v/>
      </c>
      <c r="E219" s="12">
        <f>VLOOKUP(A219,Inputs!$A$53:$C$55,2,TRUE)</f>
        <v/>
      </c>
      <c r="F219" s="12">
        <f>VLOOKUP(A219,Inputs!$A$53:$C$55,3,TRUE)</f>
        <v/>
      </c>
      <c r="G219" s="12">
        <f>MIN(F219,E219+0.03*MAX(0,MIN(1,(B219-C219)/(D219-C219))))</f>
        <v/>
      </c>
      <c r="H219" s="13">
        <f>MAX(0,0.09*(B219-C219)/12)</f>
        <v/>
      </c>
      <c r="I219" s="13">
        <f>K218*G219/12</f>
        <v/>
      </c>
      <c r="J219" s="13">
        <f>MIN(H219,K218+I219)</f>
        <v/>
      </c>
      <c r="K219" s="13">
        <f>MAX(0,K218+I219-J219)</f>
        <v/>
      </c>
      <c r="L219" s="13">
        <f>Inputs!$B$7+IF(AND(YEAR(A219)=YEAR(Inputs!$B$9),MONTH(A219)=MONTH(Inputs!$B$9)),Inputs!$B$8,0)</f>
        <v/>
      </c>
      <c r="M219" s="13">
        <f>O218*G219/12</f>
        <v/>
      </c>
      <c r="N219" s="13">
        <f>MIN(H219+L219,O218+M219)</f>
        <v/>
      </c>
      <c r="O219" s="13">
        <f>MAX(0,O218+M219-N219)</f>
        <v/>
      </c>
    </row>
    <row r="220">
      <c r="A220" s="11" t="n">
        <v>52749</v>
      </c>
      <c r="B220" s="15">
        <f>IF(MONTH(A220)=4,B219*(1+Inputs!$B$6),B219)</f>
        <v/>
      </c>
      <c r="C220" s="15">
        <f>IF(AND(MONTH(A220)=4,YEAR(A220)&gt;=Inputs!$B$20),C219*(1+Inputs!$B$21),C219)</f>
        <v/>
      </c>
      <c r="D220" s="15">
        <f>IF(AND(MONTH(A220)=4,YEAR(A220)&gt;=Inputs!$B$20),D219*(1+Inputs!$B$21),D219)</f>
        <v/>
      </c>
      <c r="E220" s="12">
        <f>VLOOKUP(A220,Inputs!$A$53:$C$55,2,TRUE)</f>
        <v/>
      </c>
      <c r="F220" s="12">
        <f>VLOOKUP(A220,Inputs!$A$53:$C$55,3,TRUE)</f>
        <v/>
      </c>
      <c r="G220" s="12">
        <f>MIN(F220,E220+0.03*MAX(0,MIN(1,(B220-C220)/(D220-C220))))</f>
        <v/>
      </c>
      <c r="H220" s="13">
        <f>MAX(0,0.09*(B220-C220)/12)</f>
        <v/>
      </c>
      <c r="I220" s="13">
        <f>K219*G220/12</f>
        <v/>
      </c>
      <c r="J220" s="13">
        <f>MIN(H220,K219+I220)</f>
        <v/>
      </c>
      <c r="K220" s="13">
        <f>MAX(0,K219+I220-J220)</f>
        <v/>
      </c>
      <c r="L220" s="13">
        <f>Inputs!$B$7+IF(AND(YEAR(A220)=YEAR(Inputs!$B$9),MONTH(A220)=MONTH(Inputs!$B$9)),Inputs!$B$8,0)</f>
        <v/>
      </c>
      <c r="M220" s="13">
        <f>O219*G220/12</f>
        <v/>
      </c>
      <c r="N220" s="13">
        <f>MIN(H220+L220,O219+M220)</f>
        <v/>
      </c>
      <c r="O220" s="13">
        <f>MAX(0,O219+M220-N220)</f>
        <v/>
      </c>
    </row>
    <row r="221">
      <c r="A221" s="11" t="n">
        <v>52779</v>
      </c>
      <c r="B221" s="15">
        <f>IF(MONTH(A221)=4,B220*(1+Inputs!$B$6),B220)</f>
        <v/>
      </c>
      <c r="C221" s="15">
        <f>IF(AND(MONTH(A221)=4,YEAR(A221)&gt;=Inputs!$B$20),C220*(1+Inputs!$B$21),C220)</f>
        <v/>
      </c>
      <c r="D221" s="15">
        <f>IF(AND(MONTH(A221)=4,YEAR(A221)&gt;=Inputs!$B$20),D220*(1+Inputs!$B$21),D220)</f>
        <v/>
      </c>
      <c r="E221" s="12">
        <f>VLOOKUP(A221,Inputs!$A$53:$C$55,2,TRUE)</f>
        <v/>
      </c>
      <c r="F221" s="12">
        <f>VLOOKUP(A221,Inputs!$A$53:$C$55,3,TRUE)</f>
        <v/>
      </c>
      <c r="G221" s="12">
        <f>MIN(F221,E221+0.03*MAX(0,MIN(1,(B221-C221)/(D221-C221))))</f>
        <v/>
      </c>
      <c r="H221" s="13">
        <f>MAX(0,0.09*(B221-C221)/12)</f>
        <v/>
      </c>
      <c r="I221" s="13">
        <f>K220*G221/12</f>
        <v/>
      </c>
      <c r="J221" s="13">
        <f>MIN(H221,K220+I221)</f>
        <v/>
      </c>
      <c r="K221" s="13">
        <f>MAX(0,K220+I221-J221)</f>
        <v/>
      </c>
      <c r="L221" s="13">
        <f>Inputs!$B$7+IF(AND(YEAR(A221)=YEAR(Inputs!$B$9),MONTH(A221)=MONTH(Inputs!$B$9)),Inputs!$B$8,0)</f>
        <v/>
      </c>
      <c r="M221" s="13">
        <f>O220*G221/12</f>
        <v/>
      </c>
      <c r="N221" s="13">
        <f>MIN(H221+L221,O220+M221)</f>
        <v/>
      </c>
      <c r="O221" s="13">
        <f>MAX(0,O220+M221-N221)</f>
        <v/>
      </c>
    </row>
    <row r="222">
      <c r="A222" s="11" t="n">
        <v>52810</v>
      </c>
      <c r="B222" s="15">
        <f>IF(MONTH(A222)=4,B221*(1+Inputs!$B$6),B221)</f>
        <v/>
      </c>
      <c r="C222" s="15">
        <f>IF(AND(MONTH(A222)=4,YEAR(A222)&gt;=Inputs!$B$20),C221*(1+Inputs!$B$21),C221)</f>
        <v/>
      </c>
      <c r="D222" s="15">
        <f>IF(AND(MONTH(A222)=4,YEAR(A222)&gt;=Inputs!$B$20),D221*(1+Inputs!$B$21),D221)</f>
        <v/>
      </c>
      <c r="E222" s="12">
        <f>VLOOKUP(A222,Inputs!$A$53:$C$55,2,TRUE)</f>
        <v/>
      </c>
      <c r="F222" s="12">
        <f>VLOOKUP(A222,Inputs!$A$53:$C$55,3,TRUE)</f>
        <v/>
      </c>
      <c r="G222" s="12">
        <f>MIN(F222,E222+0.03*MAX(0,MIN(1,(B222-C222)/(D222-C222))))</f>
        <v/>
      </c>
      <c r="H222" s="13">
        <f>MAX(0,0.09*(B222-C222)/12)</f>
        <v/>
      </c>
      <c r="I222" s="13">
        <f>K221*G222/12</f>
        <v/>
      </c>
      <c r="J222" s="13">
        <f>MIN(H222,K221+I222)</f>
        <v/>
      </c>
      <c r="K222" s="13">
        <f>MAX(0,K221+I222-J222)</f>
        <v/>
      </c>
      <c r="L222" s="13">
        <f>Inputs!$B$7+IF(AND(YEAR(A222)=YEAR(Inputs!$B$9),MONTH(A222)=MONTH(Inputs!$B$9)),Inputs!$B$8,0)</f>
        <v/>
      </c>
      <c r="M222" s="13">
        <f>O221*G222/12</f>
        <v/>
      </c>
      <c r="N222" s="13">
        <f>MIN(H222+L222,O221+M222)</f>
        <v/>
      </c>
      <c r="O222" s="13">
        <f>MAX(0,O221+M222-N222)</f>
        <v/>
      </c>
    </row>
    <row r="223">
      <c r="A223" s="11" t="n">
        <v>52841</v>
      </c>
      <c r="B223" s="15">
        <f>IF(MONTH(A223)=4,B222*(1+Inputs!$B$6),B222)</f>
        <v/>
      </c>
      <c r="C223" s="15">
        <f>IF(AND(MONTH(A223)=4,YEAR(A223)&gt;=Inputs!$B$20),C222*(1+Inputs!$B$21),C222)</f>
        <v/>
      </c>
      <c r="D223" s="15">
        <f>IF(AND(MONTH(A223)=4,YEAR(A223)&gt;=Inputs!$B$20),D222*(1+Inputs!$B$21),D222)</f>
        <v/>
      </c>
      <c r="E223" s="12">
        <f>VLOOKUP(A223,Inputs!$A$53:$C$55,2,TRUE)</f>
        <v/>
      </c>
      <c r="F223" s="12">
        <f>VLOOKUP(A223,Inputs!$A$53:$C$55,3,TRUE)</f>
        <v/>
      </c>
      <c r="G223" s="12">
        <f>MIN(F223,E223+0.03*MAX(0,MIN(1,(B223-C223)/(D223-C223))))</f>
        <v/>
      </c>
      <c r="H223" s="13">
        <f>MAX(0,0.09*(B223-C223)/12)</f>
        <v/>
      </c>
      <c r="I223" s="13">
        <f>K222*G223/12</f>
        <v/>
      </c>
      <c r="J223" s="13">
        <f>MIN(H223,K222+I223)</f>
        <v/>
      </c>
      <c r="K223" s="13">
        <f>MAX(0,K222+I223-J223)</f>
        <v/>
      </c>
      <c r="L223" s="13">
        <f>Inputs!$B$7+IF(AND(YEAR(A223)=YEAR(Inputs!$B$9),MONTH(A223)=MONTH(Inputs!$B$9)),Inputs!$B$8,0)</f>
        <v/>
      </c>
      <c r="M223" s="13">
        <f>O222*G223/12</f>
        <v/>
      </c>
      <c r="N223" s="13">
        <f>MIN(H223+L223,O222+M223)</f>
        <v/>
      </c>
      <c r="O223" s="13">
        <f>MAX(0,O222+M223-N223)</f>
        <v/>
      </c>
    </row>
    <row r="224">
      <c r="A224" s="11" t="n">
        <v>52871</v>
      </c>
      <c r="B224" s="15">
        <f>IF(MONTH(A224)=4,B223*(1+Inputs!$B$6),B223)</f>
        <v/>
      </c>
      <c r="C224" s="15">
        <f>IF(AND(MONTH(A224)=4,YEAR(A224)&gt;=Inputs!$B$20),C223*(1+Inputs!$B$21),C223)</f>
        <v/>
      </c>
      <c r="D224" s="15">
        <f>IF(AND(MONTH(A224)=4,YEAR(A224)&gt;=Inputs!$B$20),D223*(1+Inputs!$B$21),D223)</f>
        <v/>
      </c>
      <c r="E224" s="12">
        <f>VLOOKUP(A224,Inputs!$A$53:$C$55,2,TRUE)</f>
        <v/>
      </c>
      <c r="F224" s="12">
        <f>VLOOKUP(A224,Inputs!$A$53:$C$55,3,TRUE)</f>
        <v/>
      </c>
      <c r="G224" s="12">
        <f>MIN(F224,E224+0.03*MAX(0,MIN(1,(B224-C224)/(D224-C224))))</f>
        <v/>
      </c>
      <c r="H224" s="13">
        <f>MAX(0,0.09*(B224-C224)/12)</f>
        <v/>
      </c>
      <c r="I224" s="13">
        <f>K223*G224/12</f>
        <v/>
      </c>
      <c r="J224" s="13">
        <f>MIN(H224,K223+I224)</f>
        <v/>
      </c>
      <c r="K224" s="13">
        <f>MAX(0,K223+I224-J224)</f>
        <v/>
      </c>
      <c r="L224" s="13">
        <f>Inputs!$B$7+IF(AND(YEAR(A224)=YEAR(Inputs!$B$9),MONTH(A224)=MONTH(Inputs!$B$9)),Inputs!$B$8,0)</f>
        <v/>
      </c>
      <c r="M224" s="13">
        <f>O223*G224/12</f>
        <v/>
      </c>
      <c r="N224" s="13">
        <f>MIN(H224+L224,O223+M224)</f>
        <v/>
      </c>
      <c r="O224" s="13">
        <f>MAX(0,O223+M224-N224)</f>
        <v/>
      </c>
    </row>
    <row r="225">
      <c r="A225" s="11" t="n">
        <v>52902</v>
      </c>
      <c r="B225" s="15">
        <f>IF(MONTH(A225)=4,B224*(1+Inputs!$B$6),B224)</f>
        <v/>
      </c>
      <c r="C225" s="15">
        <f>IF(AND(MONTH(A225)=4,YEAR(A225)&gt;=Inputs!$B$20),C224*(1+Inputs!$B$21),C224)</f>
        <v/>
      </c>
      <c r="D225" s="15">
        <f>IF(AND(MONTH(A225)=4,YEAR(A225)&gt;=Inputs!$B$20),D224*(1+Inputs!$B$21),D224)</f>
        <v/>
      </c>
      <c r="E225" s="12">
        <f>VLOOKUP(A225,Inputs!$A$53:$C$55,2,TRUE)</f>
        <v/>
      </c>
      <c r="F225" s="12">
        <f>VLOOKUP(A225,Inputs!$A$53:$C$55,3,TRUE)</f>
        <v/>
      </c>
      <c r="G225" s="12">
        <f>MIN(F225,E225+0.03*MAX(0,MIN(1,(B225-C225)/(D225-C225))))</f>
        <v/>
      </c>
      <c r="H225" s="13">
        <f>MAX(0,0.09*(B225-C225)/12)</f>
        <v/>
      </c>
      <c r="I225" s="13">
        <f>K224*G225/12</f>
        <v/>
      </c>
      <c r="J225" s="13">
        <f>MIN(H225,K224+I225)</f>
        <v/>
      </c>
      <c r="K225" s="13">
        <f>MAX(0,K224+I225-J225)</f>
        <v/>
      </c>
      <c r="L225" s="13">
        <f>Inputs!$B$7+IF(AND(YEAR(A225)=YEAR(Inputs!$B$9),MONTH(A225)=MONTH(Inputs!$B$9)),Inputs!$B$8,0)</f>
        <v/>
      </c>
      <c r="M225" s="13">
        <f>O224*G225/12</f>
        <v/>
      </c>
      <c r="N225" s="13">
        <f>MIN(H225+L225,O224+M225)</f>
        <v/>
      </c>
      <c r="O225" s="13">
        <f>MAX(0,O224+M225-N225)</f>
        <v/>
      </c>
    </row>
    <row r="226">
      <c r="A226" s="11" t="n">
        <v>52932</v>
      </c>
      <c r="B226" s="15">
        <f>IF(MONTH(A226)=4,B225*(1+Inputs!$B$6),B225)</f>
        <v/>
      </c>
      <c r="C226" s="15">
        <f>IF(AND(MONTH(A226)=4,YEAR(A226)&gt;=Inputs!$B$20),C225*(1+Inputs!$B$21),C225)</f>
        <v/>
      </c>
      <c r="D226" s="15">
        <f>IF(AND(MONTH(A226)=4,YEAR(A226)&gt;=Inputs!$B$20),D225*(1+Inputs!$B$21),D225)</f>
        <v/>
      </c>
      <c r="E226" s="12">
        <f>VLOOKUP(A226,Inputs!$A$53:$C$55,2,TRUE)</f>
        <v/>
      </c>
      <c r="F226" s="12">
        <f>VLOOKUP(A226,Inputs!$A$53:$C$55,3,TRUE)</f>
        <v/>
      </c>
      <c r="G226" s="12">
        <f>MIN(F226,E226+0.03*MAX(0,MIN(1,(B226-C226)/(D226-C226))))</f>
        <v/>
      </c>
      <c r="H226" s="13">
        <f>MAX(0,0.09*(B226-C226)/12)</f>
        <v/>
      </c>
      <c r="I226" s="13">
        <f>K225*G226/12</f>
        <v/>
      </c>
      <c r="J226" s="13">
        <f>MIN(H226,K225+I226)</f>
        <v/>
      </c>
      <c r="K226" s="13">
        <f>MAX(0,K225+I226-J226)</f>
        <v/>
      </c>
      <c r="L226" s="13">
        <f>Inputs!$B$7+IF(AND(YEAR(A226)=YEAR(Inputs!$B$9),MONTH(A226)=MONTH(Inputs!$B$9)),Inputs!$B$8,0)</f>
        <v/>
      </c>
      <c r="M226" s="13">
        <f>O225*G226/12</f>
        <v/>
      </c>
      <c r="N226" s="13">
        <f>MIN(H226+L226,O225+M226)</f>
        <v/>
      </c>
      <c r="O226" s="13">
        <f>MAX(0,O225+M226-N226)</f>
        <v/>
      </c>
    </row>
    <row r="227">
      <c r="A227" s="11" t="n">
        <v>52963</v>
      </c>
      <c r="B227" s="15">
        <f>IF(MONTH(A227)=4,B226*(1+Inputs!$B$6),B226)</f>
        <v/>
      </c>
      <c r="C227" s="15">
        <f>IF(AND(MONTH(A227)=4,YEAR(A227)&gt;=Inputs!$B$20),C226*(1+Inputs!$B$21),C226)</f>
        <v/>
      </c>
      <c r="D227" s="15">
        <f>IF(AND(MONTH(A227)=4,YEAR(A227)&gt;=Inputs!$B$20),D226*(1+Inputs!$B$21),D226)</f>
        <v/>
      </c>
      <c r="E227" s="12">
        <f>VLOOKUP(A227,Inputs!$A$53:$C$55,2,TRUE)</f>
        <v/>
      </c>
      <c r="F227" s="12">
        <f>VLOOKUP(A227,Inputs!$A$53:$C$55,3,TRUE)</f>
        <v/>
      </c>
      <c r="G227" s="12">
        <f>MIN(F227,E227+0.03*MAX(0,MIN(1,(B227-C227)/(D227-C227))))</f>
        <v/>
      </c>
      <c r="H227" s="13">
        <f>MAX(0,0.09*(B227-C227)/12)</f>
        <v/>
      </c>
      <c r="I227" s="13">
        <f>K226*G227/12</f>
        <v/>
      </c>
      <c r="J227" s="13">
        <f>MIN(H227,K226+I227)</f>
        <v/>
      </c>
      <c r="K227" s="13">
        <f>MAX(0,K226+I227-J227)</f>
        <v/>
      </c>
      <c r="L227" s="13">
        <f>Inputs!$B$7+IF(AND(YEAR(A227)=YEAR(Inputs!$B$9),MONTH(A227)=MONTH(Inputs!$B$9)),Inputs!$B$8,0)</f>
        <v/>
      </c>
      <c r="M227" s="13">
        <f>O226*G227/12</f>
        <v/>
      </c>
      <c r="N227" s="13">
        <f>MIN(H227+L227,O226+M227)</f>
        <v/>
      </c>
      <c r="O227" s="13">
        <f>MAX(0,O226+M227-N227)</f>
        <v/>
      </c>
    </row>
    <row r="228">
      <c r="A228" s="11" t="n">
        <v>52994</v>
      </c>
      <c r="B228" s="15">
        <f>IF(MONTH(A228)=4,B227*(1+Inputs!$B$6),B227)</f>
        <v/>
      </c>
      <c r="C228" s="15">
        <f>IF(AND(MONTH(A228)=4,YEAR(A228)&gt;=Inputs!$B$20),C227*(1+Inputs!$B$21),C227)</f>
        <v/>
      </c>
      <c r="D228" s="15">
        <f>IF(AND(MONTH(A228)=4,YEAR(A228)&gt;=Inputs!$B$20),D227*(1+Inputs!$B$21),D227)</f>
        <v/>
      </c>
      <c r="E228" s="12">
        <f>VLOOKUP(A228,Inputs!$A$53:$C$55,2,TRUE)</f>
        <v/>
      </c>
      <c r="F228" s="12">
        <f>VLOOKUP(A228,Inputs!$A$53:$C$55,3,TRUE)</f>
        <v/>
      </c>
      <c r="G228" s="12">
        <f>MIN(F228,E228+0.03*MAX(0,MIN(1,(B228-C228)/(D228-C228))))</f>
        <v/>
      </c>
      <c r="H228" s="13">
        <f>MAX(0,0.09*(B228-C228)/12)</f>
        <v/>
      </c>
      <c r="I228" s="13">
        <f>K227*G228/12</f>
        <v/>
      </c>
      <c r="J228" s="13">
        <f>MIN(H228,K227+I228)</f>
        <v/>
      </c>
      <c r="K228" s="13">
        <f>MAX(0,K227+I228-J228)</f>
        <v/>
      </c>
      <c r="L228" s="13">
        <f>Inputs!$B$7+IF(AND(YEAR(A228)=YEAR(Inputs!$B$9),MONTH(A228)=MONTH(Inputs!$B$9)),Inputs!$B$8,0)</f>
        <v/>
      </c>
      <c r="M228" s="13">
        <f>O227*G228/12</f>
        <v/>
      </c>
      <c r="N228" s="13">
        <f>MIN(H228+L228,O227+M228)</f>
        <v/>
      </c>
      <c r="O228" s="13">
        <f>MAX(0,O227+M228-N228)</f>
        <v/>
      </c>
    </row>
    <row r="229">
      <c r="A229" s="11" t="n">
        <v>53022</v>
      </c>
      <c r="B229" s="15">
        <f>IF(MONTH(A229)=4,B228*(1+Inputs!$B$6),B228)</f>
        <v/>
      </c>
      <c r="C229" s="15">
        <f>IF(AND(MONTH(A229)=4,YEAR(A229)&gt;=Inputs!$B$20),C228*(1+Inputs!$B$21),C228)</f>
        <v/>
      </c>
      <c r="D229" s="15">
        <f>IF(AND(MONTH(A229)=4,YEAR(A229)&gt;=Inputs!$B$20),D228*(1+Inputs!$B$21),D228)</f>
        <v/>
      </c>
      <c r="E229" s="12">
        <f>VLOOKUP(A229,Inputs!$A$53:$C$55,2,TRUE)</f>
        <v/>
      </c>
      <c r="F229" s="12">
        <f>VLOOKUP(A229,Inputs!$A$53:$C$55,3,TRUE)</f>
        <v/>
      </c>
      <c r="G229" s="12">
        <f>MIN(F229,E229+0.03*MAX(0,MIN(1,(B229-C229)/(D229-C229))))</f>
        <v/>
      </c>
      <c r="H229" s="13">
        <f>MAX(0,0.09*(B229-C229)/12)</f>
        <v/>
      </c>
      <c r="I229" s="13">
        <f>K228*G229/12</f>
        <v/>
      </c>
      <c r="J229" s="13">
        <f>MIN(H229,K228+I229)</f>
        <v/>
      </c>
      <c r="K229" s="13">
        <f>MAX(0,K228+I229-J229)</f>
        <v/>
      </c>
      <c r="L229" s="13">
        <f>Inputs!$B$7+IF(AND(YEAR(A229)=YEAR(Inputs!$B$9),MONTH(A229)=MONTH(Inputs!$B$9)),Inputs!$B$8,0)</f>
        <v/>
      </c>
      <c r="M229" s="13">
        <f>O228*G229/12</f>
        <v/>
      </c>
      <c r="N229" s="13">
        <f>MIN(H229+L229,O228+M229)</f>
        <v/>
      </c>
      <c r="O229" s="13">
        <f>MAX(0,O228+M229-N229)</f>
        <v/>
      </c>
    </row>
    <row r="230">
      <c r="A230" s="11" t="n">
        <v>53053</v>
      </c>
      <c r="B230" s="15">
        <f>IF(MONTH(A230)=4,B229*(1+Inputs!$B$6),B229)</f>
        <v/>
      </c>
      <c r="C230" s="15">
        <f>IF(AND(MONTH(A230)=4,YEAR(A230)&gt;=Inputs!$B$20),C229*(1+Inputs!$B$21),C229)</f>
        <v/>
      </c>
      <c r="D230" s="15">
        <f>IF(AND(MONTH(A230)=4,YEAR(A230)&gt;=Inputs!$B$20),D229*(1+Inputs!$B$21),D229)</f>
        <v/>
      </c>
      <c r="E230" s="12">
        <f>VLOOKUP(A230,Inputs!$A$53:$C$55,2,TRUE)</f>
        <v/>
      </c>
      <c r="F230" s="12">
        <f>VLOOKUP(A230,Inputs!$A$53:$C$55,3,TRUE)</f>
        <v/>
      </c>
      <c r="G230" s="12">
        <f>MIN(F230,E230+0.03*MAX(0,MIN(1,(B230-C230)/(D230-C230))))</f>
        <v/>
      </c>
      <c r="H230" s="13">
        <f>MAX(0,0.09*(B230-C230)/12)</f>
        <v/>
      </c>
      <c r="I230" s="13">
        <f>K229*G230/12</f>
        <v/>
      </c>
      <c r="J230" s="13">
        <f>MIN(H230,K229+I230)</f>
        <v/>
      </c>
      <c r="K230" s="13">
        <f>MAX(0,K229+I230-J230)</f>
        <v/>
      </c>
      <c r="L230" s="13">
        <f>Inputs!$B$7+IF(AND(YEAR(A230)=YEAR(Inputs!$B$9),MONTH(A230)=MONTH(Inputs!$B$9)),Inputs!$B$8,0)</f>
        <v/>
      </c>
      <c r="M230" s="13">
        <f>O229*G230/12</f>
        <v/>
      </c>
      <c r="N230" s="13">
        <f>MIN(H230+L230,O229+M230)</f>
        <v/>
      </c>
      <c r="O230" s="13">
        <f>MAX(0,O229+M230-N230)</f>
        <v/>
      </c>
    </row>
    <row r="231">
      <c r="A231" s="11" t="n">
        <v>53083</v>
      </c>
      <c r="B231" s="15">
        <f>IF(MONTH(A231)=4,B230*(1+Inputs!$B$6),B230)</f>
        <v/>
      </c>
      <c r="C231" s="15">
        <f>IF(AND(MONTH(A231)=4,YEAR(A231)&gt;=Inputs!$B$20),C230*(1+Inputs!$B$21),C230)</f>
        <v/>
      </c>
      <c r="D231" s="15">
        <f>IF(AND(MONTH(A231)=4,YEAR(A231)&gt;=Inputs!$B$20),D230*(1+Inputs!$B$21),D230)</f>
        <v/>
      </c>
      <c r="E231" s="12">
        <f>VLOOKUP(A231,Inputs!$A$53:$C$55,2,TRUE)</f>
        <v/>
      </c>
      <c r="F231" s="12">
        <f>VLOOKUP(A231,Inputs!$A$53:$C$55,3,TRUE)</f>
        <v/>
      </c>
      <c r="G231" s="12">
        <f>MIN(F231,E231+0.03*MAX(0,MIN(1,(B231-C231)/(D231-C231))))</f>
        <v/>
      </c>
      <c r="H231" s="13">
        <f>MAX(0,0.09*(B231-C231)/12)</f>
        <v/>
      </c>
      <c r="I231" s="13">
        <f>K230*G231/12</f>
        <v/>
      </c>
      <c r="J231" s="13">
        <f>MIN(H231,K230+I231)</f>
        <v/>
      </c>
      <c r="K231" s="13">
        <f>MAX(0,K230+I231-J231)</f>
        <v/>
      </c>
      <c r="L231" s="13">
        <f>Inputs!$B$7+IF(AND(YEAR(A231)=YEAR(Inputs!$B$9),MONTH(A231)=MONTH(Inputs!$B$9)),Inputs!$B$8,0)</f>
        <v/>
      </c>
      <c r="M231" s="13">
        <f>O230*G231/12</f>
        <v/>
      </c>
      <c r="N231" s="13">
        <f>MIN(H231+L231,O230+M231)</f>
        <v/>
      </c>
      <c r="O231" s="13">
        <f>MAX(0,O230+M231-N231)</f>
        <v/>
      </c>
    </row>
    <row r="232">
      <c r="A232" s="11" t="n">
        <v>53114</v>
      </c>
      <c r="B232" s="15">
        <f>IF(MONTH(A232)=4,B231*(1+Inputs!$B$6),B231)</f>
        <v/>
      </c>
      <c r="C232" s="15">
        <f>IF(AND(MONTH(A232)=4,YEAR(A232)&gt;=Inputs!$B$20),C231*(1+Inputs!$B$21),C231)</f>
        <v/>
      </c>
      <c r="D232" s="15">
        <f>IF(AND(MONTH(A232)=4,YEAR(A232)&gt;=Inputs!$B$20),D231*(1+Inputs!$B$21),D231)</f>
        <v/>
      </c>
      <c r="E232" s="12">
        <f>VLOOKUP(A232,Inputs!$A$53:$C$55,2,TRUE)</f>
        <v/>
      </c>
      <c r="F232" s="12">
        <f>VLOOKUP(A232,Inputs!$A$53:$C$55,3,TRUE)</f>
        <v/>
      </c>
      <c r="G232" s="12">
        <f>MIN(F232,E232+0.03*MAX(0,MIN(1,(B232-C232)/(D232-C232))))</f>
        <v/>
      </c>
      <c r="H232" s="13">
        <f>MAX(0,0.09*(B232-C232)/12)</f>
        <v/>
      </c>
      <c r="I232" s="13">
        <f>K231*G232/12</f>
        <v/>
      </c>
      <c r="J232" s="13">
        <f>MIN(H232,K231+I232)</f>
        <v/>
      </c>
      <c r="K232" s="13">
        <f>MAX(0,K231+I232-J232)</f>
        <v/>
      </c>
      <c r="L232" s="13">
        <f>Inputs!$B$7+IF(AND(YEAR(A232)=YEAR(Inputs!$B$9),MONTH(A232)=MONTH(Inputs!$B$9)),Inputs!$B$8,0)</f>
        <v/>
      </c>
      <c r="M232" s="13">
        <f>O231*G232/12</f>
        <v/>
      </c>
      <c r="N232" s="13">
        <f>MIN(H232+L232,O231+M232)</f>
        <v/>
      </c>
      <c r="O232" s="13">
        <f>MAX(0,O231+M232-N232)</f>
        <v/>
      </c>
    </row>
    <row r="233">
      <c r="A233" s="11" t="n">
        <v>53144</v>
      </c>
      <c r="B233" s="15">
        <f>IF(MONTH(A233)=4,B232*(1+Inputs!$B$6),B232)</f>
        <v/>
      </c>
      <c r="C233" s="15">
        <f>IF(AND(MONTH(A233)=4,YEAR(A233)&gt;=Inputs!$B$20),C232*(1+Inputs!$B$21),C232)</f>
        <v/>
      </c>
      <c r="D233" s="15">
        <f>IF(AND(MONTH(A233)=4,YEAR(A233)&gt;=Inputs!$B$20),D232*(1+Inputs!$B$21),D232)</f>
        <v/>
      </c>
      <c r="E233" s="12">
        <f>VLOOKUP(A233,Inputs!$A$53:$C$55,2,TRUE)</f>
        <v/>
      </c>
      <c r="F233" s="12">
        <f>VLOOKUP(A233,Inputs!$A$53:$C$55,3,TRUE)</f>
        <v/>
      </c>
      <c r="G233" s="12">
        <f>MIN(F233,E233+0.03*MAX(0,MIN(1,(B233-C233)/(D233-C233))))</f>
        <v/>
      </c>
      <c r="H233" s="13">
        <f>MAX(0,0.09*(B233-C233)/12)</f>
        <v/>
      </c>
      <c r="I233" s="13">
        <f>K232*G233/12</f>
        <v/>
      </c>
      <c r="J233" s="13">
        <f>MIN(H233,K232+I233)</f>
        <v/>
      </c>
      <c r="K233" s="13">
        <f>MAX(0,K232+I233-J233)</f>
        <v/>
      </c>
      <c r="L233" s="13">
        <f>Inputs!$B$7+IF(AND(YEAR(A233)=YEAR(Inputs!$B$9),MONTH(A233)=MONTH(Inputs!$B$9)),Inputs!$B$8,0)</f>
        <v/>
      </c>
      <c r="M233" s="13">
        <f>O232*G233/12</f>
        <v/>
      </c>
      <c r="N233" s="13">
        <f>MIN(H233+L233,O232+M233)</f>
        <v/>
      </c>
      <c r="O233" s="13">
        <f>MAX(0,O232+M233-N233)</f>
        <v/>
      </c>
    </row>
    <row r="234">
      <c r="A234" s="11" t="n">
        <v>53175</v>
      </c>
      <c r="B234" s="15">
        <f>IF(MONTH(A234)=4,B233*(1+Inputs!$B$6),B233)</f>
        <v/>
      </c>
      <c r="C234" s="15">
        <f>IF(AND(MONTH(A234)=4,YEAR(A234)&gt;=Inputs!$B$20),C233*(1+Inputs!$B$21),C233)</f>
        <v/>
      </c>
      <c r="D234" s="15">
        <f>IF(AND(MONTH(A234)=4,YEAR(A234)&gt;=Inputs!$B$20),D233*(1+Inputs!$B$21),D233)</f>
        <v/>
      </c>
      <c r="E234" s="12">
        <f>VLOOKUP(A234,Inputs!$A$53:$C$55,2,TRUE)</f>
        <v/>
      </c>
      <c r="F234" s="12">
        <f>VLOOKUP(A234,Inputs!$A$53:$C$55,3,TRUE)</f>
        <v/>
      </c>
      <c r="G234" s="12">
        <f>MIN(F234,E234+0.03*MAX(0,MIN(1,(B234-C234)/(D234-C234))))</f>
        <v/>
      </c>
      <c r="H234" s="13">
        <f>MAX(0,0.09*(B234-C234)/12)</f>
        <v/>
      </c>
      <c r="I234" s="13">
        <f>K233*G234/12</f>
        <v/>
      </c>
      <c r="J234" s="13">
        <f>MIN(H234,K233+I234)</f>
        <v/>
      </c>
      <c r="K234" s="13">
        <f>MAX(0,K233+I234-J234)</f>
        <v/>
      </c>
      <c r="L234" s="13">
        <f>Inputs!$B$7+IF(AND(YEAR(A234)=YEAR(Inputs!$B$9),MONTH(A234)=MONTH(Inputs!$B$9)),Inputs!$B$8,0)</f>
        <v/>
      </c>
      <c r="M234" s="13">
        <f>O233*G234/12</f>
        <v/>
      </c>
      <c r="N234" s="13">
        <f>MIN(H234+L234,O233+M234)</f>
        <v/>
      </c>
      <c r="O234" s="13">
        <f>MAX(0,O233+M234-N234)</f>
        <v/>
      </c>
    </row>
    <row r="235">
      <c r="A235" s="11" t="n">
        <v>53206</v>
      </c>
      <c r="B235" s="15">
        <f>IF(MONTH(A235)=4,B234*(1+Inputs!$B$6),B234)</f>
        <v/>
      </c>
      <c r="C235" s="15">
        <f>IF(AND(MONTH(A235)=4,YEAR(A235)&gt;=Inputs!$B$20),C234*(1+Inputs!$B$21),C234)</f>
        <v/>
      </c>
      <c r="D235" s="15">
        <f>IF(AND(MONTH(A235)=4,YEAR(A235)&gt;=Inputs!$B$20),D234*(1+Inputs!$B$21),D234)</f>
        <v/>
      </c>
      <c r="E235" s="12">
        <f>VLOOKUP(A235,Inputs!$A$53:$C$55,2,TRUE)</f>
        <v/>
      </c>
      <c r="F235" s="12">
        <f>VLOOKUP(A235,Inputs!$A$53:$C$55,3,TRUE)</f>
        <v/>
      </c>
      <c r="G235" s="12">
        <f>MIN(F235,E235+0.03*MAX(0,MIN(1,(B235-C235)/(D235-C235))))</f>
        <v/>
      </c>
      <c r="H235" s="13">
        <f>MAX(0,0.09*(B235-C235)/12)</f>
        <v/>
      </c>
      <c r="I235" s="13">
        <f>K234*G235/12</f>
        <v/>
      </c>
      <c r="J235" s="13">
        <f>MIN(H235,K234+I235)</f>
        <v/>
      </c>
      <c r="K235" s="13">
        <f>MAX(0,K234+I235-J235)</f>
        <v/>
      </c>
      <c r="L235" s="13">
        <f>Inputs!$B$7+IF(AND(YEAR(A235)=YEAR(Inputs!$B$9),MONTH(A235)=MONTH(Inputs!$B$9)),Inputs!$B$8,0)</f>
        <v/>
      </c>
      <c r="M235" s="13">
        <f>O234*G235/12</f>
        <v/>
      </c>
      <c r="N235" s="13">
        <f>MIN(H235+L235,O234+M235)</f>
        <v/>
      </c>
      <c r="O235" s="13">
        <f>MAX(0,O234+M235-N235)</f>
        <v/>
      </c>
    </row>
    <row r="236">
      <c r="A236" s="11" t="n">
        <v>53236</v>
      </c>
      <c r="B236" s="15">
        <f>IF(MONTH(A236)=4,B235*(1+Inputs!$B$6),B235)</f>
        <v/>
      </c>
      <c r="C236" s="15">
        <f>IF(AND(MONTH(A236)=4,YEAR(A236)&gt;=Inputs!$B$20),C235*(1+Inputs!$B$21),C235)</f>
        <v/>
      </c>
      <c r="D236" s="15">
        <f>IF(AND(MONTH(A236)=4,YEAR(A236)&gt;=Inputs!$B$20),D235*(1+Inputs!$B$21),D235)</f>
        <v/>
      </c>
      <c r="E236" s="12">
        <f>VLOOKUP(A236,Inputs!$A$53:$C$55,2,TRUE)</f>
        <v/>
      </c>
      <c r="F236" s="12">
        <f>VLOOKUP(A236,Inputs!$A$53:$C$55,3,TRUE)</f>
        <v/>
      </c>
      <c r="G236" s="12">
        <f>MIN(F236,E236+0.03*MAX(0,MIN(1,(B236-C236)/(D236-C236))))</f>
        <v/>
      </c>
      <c r="H236" s="13">
        <f>MAX(0,0.09*(B236-C236)/12)</f>
        <v/>
      </c>
      <c r="I236" s="13">
        <f>K235*G236/12</f>
        <v/>
      </c>
      <c r="J236" s="13">
        <f>MIN(H236,K235+I236)</f>
        <v/>
      </c>
      <c r="K236" s="13">
        <f>MAX(0,K235+I236-J236)</f>
        <v/>
      </c>
      <c r="L236" s="13">
        <f>Inputs!$B$7+IF(AND(YEAR(A236)=YEAR(Inputs!$B$9),MONTH(A236)=MONTH(Inputs!$B$9)),Inputs!$B$8,0)</f>
        <v/>
      </c>
      <c r="M236" s="13">
        <f>O235*G236/12</f>
        <v/>
      </c>
      <c r="N236" s="13">
        <f>MIN(H236+L236,O235+M236)</f>
        <v/>
      </c>
      <c r="O236" s="13">
        <f>MAX(0,O235+M236-N236)</f>
        <v/>
      </c>
    </row>
    <row r="237">
      <c r="A237" s="11" t="n">
        <v>53267</v>
      </c>
      <c r="B237" s="15">
        <f>IF(MONTH(A237)=4,B236*(1+Inputs!$B$6),B236)</f>
        <v/>
      </c>
      <c r="C237" s="15">
        <f>IF(AND(MONTH(A237)=4,YEAR(A237)&gt;=Inputs!$B$20),C236*(1+Inputs!$B$21),C236)</f>
        <v/>
      </c>
      <c r="D237" s="15">
        <f>IF(AND(MONTH(A237)=4,YEAR(A237)&gt;=Inputs!$B$20),D236*(1+Inputs!$B$21),D236)</f>
        <v/>
      </c>
      <c r="E237" s="12">
        <f>VLOOKUP(A237,Inputs!$A$53:$C$55,2,TRUE)</f>
        <v/>
      </c>
      <c r="F237" s="12">
        <f>VLOOKUP(A237,Inputs!$A$53:$C$55,3,TRUE)</f>
        <v/>
      </c>
      <c r="G237" s="12">
        <f>MIN(F237,E237+0.03*MAX(0,MIN(1,(B237-C237)/(D237-C237))))</f>
        <v/>
      </c>
      <c r="H237" s="13">
        <f>MAX(0,0.09*(B237-C237)/12)</f>
        <v/>
      </c>
      <c r="I237" s="13">
        <f>K236*G237/12</f>
        <v/>
      </c>
      <c r="J237" s="13">
        <f>MIN(H237,K236+I237)</f>
        <v/>
      </c>
      <c r="K237" s="13">
        <f>MAX(0,K236+I237-J237)</f>
        <v/>
      </c>
      <c r="L237" s="13">
        <f>Inputs!$B$7+IF(AND(YEAR(A237)=YEAR(Inputs!$B$9),MONTH(A237)=MONTH(Inputs!$B$9)),Inputs!$B$8,0)</f>
        <v/>
      </c>
      <c r="M237" s="13">
        <f>O236*G237/12</f>
        <v/>
      </c>
      <c r="N237" s="13">
        <f>MIN(H237+L237,O236+M237)</f>
        <v/>
      </c>
      <c r="O237" s="13">
        <f>MAX(0,O236+M237-N237)</f>
        <v/>
      </c>
    </row>
    <row r="238">
      <c r="A238" s="11" t="n">
        <v>53297</v>
      </c>
      <c r="B238" s="15">
        <f>IF(MONTH(A238)=4,B237*(1+Inputs!$B$6),B237)</f>
        <v/>
      </c>
      <c r="C238" s="15">
        <f>IF(AND(MONTH(A238)=4,YEAR(A238)&gt;=Inputs!$B$20),C237*(1+Inputs!$B$21),C237)</f>
        <v/>
      </c>
      <c r="D238" s="15">
        <f>IF(AND(MONTH(A238)=4,YEAR(A238)&gt;=Inputs!$B$20),D237*(1+Inputs!$B$21),D237)</f>
        <v/>
      </c>
      <c r="E238" s="12">
        <f>VLOOKUP(A238,Inputs!$A$53:$C$55,2,TRUE)</f>
        <v/>
      </c>
      <c r="F238" s="12">
        <f>VLOOKUP(A238,Inputs!$A$53:$C$55,3,TRUE)</f>
        <v/>
      </c>
      <c r="G238" s="12">
        <f>MIN(F238,E238+0.03*MAX(0,MIN(1,(B238-C238)/(D238-C238))))</f>
        <v/>
      </c>
      <c r="H238" s="13">
        <f>MAX(0,0.09*(B238-C238)/12)</f>
        <v/>
      </c>
      <c r="I238" s="13">
        <f>K237*G238/12</f>
        <v/>
      </c>
      <c r="J238" s="13">
        <f>MIN(H238,K237+I238)</f>
        <v/>
      </c>
      <c r="K238" s="13">
        <f>MAX(0,K237+I238-J238)</f>
        <v/>
      </c>
      <c r="L238" s="13">
        <f>Inputs!$B$7+IF(AND(YEAR(A238)=YEAR(Inputs!$B$9),MONTH(A238)=MONTH(Inputs!$B$9)),Inputs!$B$8,0)</f>
        <v/>
      </c>
      <c r="M238" s="13">
        <f>O237*G238/12</f>
        <v/>
      </c>
      <c r="N238" s="13">
        <f>MIN(H238+L238,O237+M238)</f>
        <v/>
      </c>
      <c r="O238" s="13">
        <f>MAX(0,O237+M238-N238)</f>
        <v/>
      </c>
    </row>
    <row r="239">
      <c r="A239" s="11" t="n">
        <v>53328</v>
      </c>
      <c r="B239" s="15">
        <f>IF(MONTH(A239)=4,B238*(1+Inputs!$B$6),B238)</f>
        <v/>
      </c>
      <c r="C239" s="15">
        <f>IF(AND(MONTH(A239)=4,YEAR(A239)&gt;=Inputs!$B$20),C238*(1+Inputs!$B$21),C238)</f>
        <v/>
      </c>
      <c r="D239" s="15">
        <f>IF(AND(MONTH(A239)=4,YEAR(A239)&gt;=Inputs!$B$20),D238*(1+Inputs!$B$21),D238)</f>
        <v/>
      </c>
      <c r="E239" s="12">
        <f>VLOOKUP(A239,Inputs!$A$53:$C$55,2,TRUE)</f>
        <v/>
      </c>
      <c r="F239" s="12">
        <f>VLOOKUP(A239,Inputs!$A$53:$C$55,3,TRUE)</f>
        <v/>
      </c>
      <c r="G239" s="12">
        <f>MIN(F239,E239+0.03*MAX(0,MIN(1,(B239-C239)/(D239-C239))))</f>
        <v/>
      </c>
      <c r="H239" s="13">
        <f>MAX(0,0.09*(B239-C239)/12)</f>
        <v/>
      </c>
      <c r="I239" s="13">
        <f>K238*G239/12</f>
        <v/>
      </c>
      <c r="J239" s="13">
        <f>MIN(H239,K238+I239)</f>
        <v/>
      </c>
      <c r="K239" s="13">
        <f>MAX(0,K238+I239-J239)</f>
        <v/>
      </c>
      <c r="L239" s="13">
        <f>Inputs!$B$7+IF(AND(YEAR(A239)=YEAR(Inputs!$B$9),MONTH(A239)=MONTH(Inputs!$B$9)),Inputs!$B$8,0)</f>
        <v/>
      </c>
      <c r="M239" s="13">
        <f>O238*G239/12</f>
        <v/>
      </c>
      <c r="N239" s="13">
        <f>MIN(H239+L239,O238+M239)</f>
        <v/>
      </c>
      <c r="O239" s="13">
        <f>MAX(0,O238+M239-N239)</f>
        <v/>
      </c>
    </row>
    <row r="240">
      <c r="A240" s="11" t="n">
        <v>53359</v>
      </c>
      <c r="B240" s="15">
        <f>IF(MONTH(A240)=4,B239*(1+Inputs!$B$6),B239)</f>
        <v/>
      </c>
      <c r="C240" s="15">
        <f>IF(AND(MONTH(A240)=4,YEAR(A240)&gt;=Inputs!$B$20),C239*(1+Inputs!$B$21),C239)</f>
        <v/>
      </c>
      <c r="D240" s="15">
        <f>IF(AND(MONTH(A240)=4,YEAR(A240)&gt;=Inputs!$B$20),D239*(1+Inputs!$B$21),D239)</f>
        <v/>
      </c>
      <c r="E240" s="12">
        <f>VLOOKUP(A240,Inputs!$A$53:$C$55,2,TRUE)</f>
        <v/>
      </c>
      <c r="F240" s="12">
        <f>VLOOKUP(A240,Inputs!$A$53:$C$55,3,TRUE)</f>
        <v/>
      </c>
      <c r="G240" s="12">
        <f>MIN(F240,E240+0.03*MAX(0,MIN(1,(B240-C240)/(D240-C240))))</f>
        <v/>
      </c>
      <c r="H240" s="13">
        <f>MAX(0,0.09*(B240-C240)/12)</f>
        <v/>
      </c>
      <c r="I240" s="13">
        <f>K239*G240/12</f>
        <v/>
      </c>
      <c r="J240" s="13">
        <f>MIN(H240,K239+I240)</f>
        <v/>
      </c>
      <c r="K240" s="13">
        <f>MAX(0,K239+I240-J240)</f>
        <v/>
      </c>
      <c r="L240" s="13">
        <f>Inputs!$B$7+IF(AND(YEAR(A240)=YEAR(Inputs!$B$9),MONTH(A240)=MONTH(Inputs!$B$9)),Inputs!$B$8,0)</f>
        <v/>
      </c>
      <c r="M240" s="13">
        <f>O239*G240/12</f>
        <v/>
      </c>
      <c r="N240" s="13">
        <f>MIN(H240+L240,O239+M240)</f>
        <v/>
      </c>
      <c r="O240" s="13">
        <f>MAX(0,O239+M240-N240)</f>
        <v/>
      </c>
    </row>
    <row r="241">
      <c r="A241" s="11" t="n">
        <v>53387</v>
      </c>
      <c r="B241" s="15">
        <f>IF(MONTH(A241)=4,B240*(1+Inputs!$B$6),B240)</f>
        <v/>
      </c>
      <c r="C241" s="15">
        <f>IF(AND(MONTH(A241)=4,YEAR(A241)&gt;=Inputs!$B$20),C240*(1+Inputs!$B$21),C240)</f>
        <v/>
      </c>
      <c r="D241" s="15">
        <f>IF(AND(MONTH(A241)=4,YEAR(A241)&gt;=Inputs!$B$20),D240*(1+Inputs!$B$21),D240)</f>
        <v/>
      </c>
      <c r="E241" s="12">
        <f>VLOOKUP(A241,Inputs!$A$53:$C$55,2,TRUE)</f>
        <v/>
      </c>
      <c r="F241" s="12">
        <f>VLOOKUP(A241,Inputs!$A$53:$C$55,3,TRUE)</f>
        <v/>
      </c>
      <c r="G241" s="12">
        <f>MIN(F241,E241+0.03*MAX(0,MIN(1,(B241-C241)/(D241-C241))))</f>
        <v/>
      </c>
      <c r="H241" s="13">
        <f>MAX(0,0.09*(B241-C241)/12)</f>
        <v/>
      </c>
      <c r="I241" s="13">
        <f>K240*G241/12</f>
        <v/>
      </c>
      <c r="J241" s="13">
        <f>MIN(H241,K240+I241)</f>
        <v/>
      </c>
      <c r="K241" s="13">
        <f>MAX(0,K240+I241-J241)</f>
        <v/>
      </c>
      <c r="L241" s="13">
        <f>Inputs!$B$7+IF(AND(YEAR(A241)=YEAR(Inputs!$B$9),MONTH(A241)=MONTH(Inputs!$B$9)),Inputs!$B$8,0)</f>
        <v/>
      </c>
      <c r="M241" s="13">
        <f>O240*G241/12</f>
        <v/>
      </c>
      <c r="N241" s="13">
        <f>MIN(H241+L241,O240+M241)</f>
        <v/>
      </c>
      <c r="O241" s="13">
        <f>MAX(0,O240+M241-N241)</f>
        <v/>
      </c>
    </row>
    <row r="242">
      <c r="A242" s="11" t="n">
        <v>53418</v>
      </c>
      <c r="B242" s="15">
        <f>IF(MONTH(A242)=4,B241*(1+Inputs!$B$6),B241)</f>
        <v/>
      </c>
      <c r="C242" s="15">
        <f>IF(AND(MONTH(A242)=4,YEAR(A242)&gt;=Inputs!$B$20),C241*(1+Inputs!$B$21),C241)</f>
        <v/>
      </c>
      <c r="D242" s="15">
        <f>IF(AND(MONTH(A242)=4,YEAR(A242)&gt;=Inputs!$B$20),D241*(1+Inputs!$B$21),D241)</f>
        <v/>
      </c>
      <c r="E242" s="12">
        <f>VLOOKUP(A242,Inputs!$A$53:$C$55,2,TRUE)</f>
        <v/>
      </c>
      <c r="F242" s="12">
        <f>VLOOKUP(A242,Inputs!$A$53:$C$55,3,TRUE)</f>
        <v/>
      </c>
      <c r="G242" s="12">
        <f>MIN(F242,E242+0.03*MAX(0,MIN(1,(B242-C242)/(D242-C242))))</f>
        <v/>
      </c>
      <c r="H242" s="13">
        <f>MAX(0,0.09*(B242-C242)/12)</f>
        <v/>
      </c>
      <c r="I242" s="13">
        <f>K241*G242/12</f>
        <v/>
      </c>
      <c r="J242" s="13">
        <f>MIN(H242,K241+I242)</f>
        <v/>
      </c>
      <c r="K242" s="13">
        <f>MAX(0,K241+I242-J242)</f>
        <v/>
      </c>
      <c r="L242" s="13">
        <f>Inputs!$B$7+IF(AND(YEAR(A242)=YEAR(Inputs!$B$9),MONTH(A242)=MONTH(Inputs!$B$9)),Inputs!$B$8,0)</f>
        <v/>
      </c>
      <c r="M242" s="13">
        <f>O241*G242/12</f>
        <v/>
      </c>
      <c r="N242" s="13">
        <f>MIN(H242+L242,O241+M242)</f>
        <v/>
      </c>
      <c r="O242" s="13">
        <f>MAX(0,O241+M242-N242)</f>
        <v/>
      </c>
    </row>
    <row r="243">
      <c r="A243" s="11" t="n">
        <v>53448</v>
      </c>
      <c r="B243" s="15">
        <f>IF(MONTH(A243)=4,B242*(1+Inputs!$B$6),B242)</f>
        <v/>
      </c>
      <c r="C243" s="15">
        <f>IF(AND(MONTH(A243)=4,YEAR(A243)&gt;=Inputs!$B$20),C242*(1+Inputs!$B$21),C242)</f>
        <v/>
      </c>
      <c r="D243" s="15">
        <f>IF(AND(MONTH(A243)=4,YEAR(A243)&gt;=Inputs!$B$20),D242*(1+Inputs!$B$21),D242)</f>
        <v/>
      </c>
      <c r="E243" s="12">
        <f>VLOOKUP(A243,Inputs!$A$53:$C$55,2,TRUE)</f>
        <v/>
      </c>
      <c r="F243" s="12">
        <f>VLOOKUP(A243,Inputs!$A$53:$C$55,3,TRUE)</f>
        <v/>
      </c>
      <c r="G243" s="12">
        <f>MIN(F243,E243+0.03*MAX(0,MIN(1,(B243-C243)/(D243-C243))))</f>
        <v/>
      </c>
      <c r="H243" s="13">
        <f>MAX(0,0.09*(B243-C243)/12)</f>
        <v/>
      </c>
      <c r="I243" s="13">
        <f>K242*G243/12</f>
        <v/>
      </c>
      <c r="J243" s="13">
        <f>MIN(H243,K242+I243)</f>
        <v/>
      </c>
      <c r="K243" s="13">
        <f>MAX(0,K242+I243-J243)</f>
        <v/>
      </c>
      <c r="L243" s="13">
        <f>Inputs!$B$7+IF(AND(YEAR(A243)=YEAR(Inputs!$B$9),MONTH(A243)=MONTH(Inputs!$B$9)),Inputs!$B$8,0)</f>
        <v/>
      </c>
      <c r="M243" s="13">
        <f>O242*G243/12</f>
        <v/>
      </c>
      <c r="N243" s="13">
        <f>MIN(H243+L243,O242+M243)</f>
        <v/>
      </c>
      <c r="O243" s="13">
        <f>MAX(0,O242+M243-N243)</f>
        <v/>
      </c>
    </row>
    <row r="244">
      <c r="A244" s="11" t="n">
        <v>53479</v>
      </c>
      <c r="B244" s="15">
        <f>IF(MONTH(A244)=4,B243*(1+Inputs!$B$6),B243)</f>
        <v/>
      </c>
      <c r="C244" s="15">
        <f>IF(AND(MONTH(A244)=4,YEAR(A244)&gt;=Inputs!$B$20),C243*(1+Inputs!$B$21),C243)</f>
        <v/>
      </c>
      <c r="D244" s="15">
        <f>IF(AND(MONTH(A244)=4,YEAR(A244)&gt;=Inputs!$B$20),D243*(1+Inputs!$B$21),D243)</f>
        <v/>
      </c>
      <c r="E244" s="12">
        <f>VLOOKUP(A244,Inputs!$A$53:$C$55,2,TRUE)</f>
        <v/>
      </c>
      <c r="F244" s="12">
        <f>VLOOKUP(A244,Inputs!$A$53:$C$55,3,TRUE)</f>
        <v/>
      </c>
      <c r="G244" s="12">
        <f>MIN(F244,E244+0.03*MAX(0,MIN(1,(B244-C244)/(D244-C244))))</f>
        <v/>
      </c>
      <c r="H244" s="13">
        <f>MAX(0,0.09*(B244-C244)/12)</f>
        <v/>
      </c>
      <c r="I244" s="13">
        <f>K243*G244/12</f>
        <v/>
      </c>
      <c r="J244" s="13">
        <f>MIN(H244,K243+I244)</f>
        <v/>
      </c>
      <c r="K244" s="13">
        <f>MAX(0,K243+I244-J244)</f>
        <v/>
      </c>
      <c r="L244" s="13">
        <f>Inputs!$B$7+IF(AND(YEAR(A244)=YEAR(Inputs!$B$9),MONTH(A244)=MONTH(Inputs!$B$9)),Inputs!$B$8,0)</f>
        <v/>
      </c>
      <c r="M244" s="13">
        <f>O243*G244/12</f>
        <v/>
      </c>
      <c r="N244" s="13">
        <f>MIN(H244+L244,O243+M244)</f>
        <v/>
      </c>
      <c r="O244" s="13">
        <f>MAX(0,O243+M244-N244)</f>
        <v/>
      </c>
    </row>
    <row r="245">
      <c r="A245" s="11" t="n">
        <v>53509</v>
      </c>
      <c r="B245" s="15">
        <f>IF(MONTH(A245)=4,B244*(1+Inputs!$B$6),B244)</f>
        <v/>
      </c>
      <c r="C245" s="15">
        <f>IF(AND(MONTH(A245)=4,YEAR(A245)&gt;=Inputs!$B$20),C244*(1+Inputs!$B$21),C244)</f>
        <v/>
      </c>
      <c r="D245" s="15">
        <f>IF(AND(MONTH(A245)=4,YEAR(A245)&gt;=Inputs!$B$20),D244*(1+Inputs!$B$21),D244)</f>
        <v/>
      </c>
      <c r="E245" s="12">
        <f>VLOOKUP(A245,Inputs!$A$53:$C$55,2,TRUE)</f>
        <v/>
      </c>
      <c r="F245" s="12">
        <f>VLOOKUP(A245,Inputs!$A$53:$C$55,3,TRUE)</f>
        <v/>
      </c>
      <c r="G245" s="12">
        <f>MIN(F245,E245+0.03*MAX(0,MIN(1,(B245-C245)/(D245-C245))))</f>
        <v/>
      </c>
      <c r="H245" s="13">
        <f>MAX(0,0.09*(B245-C245)/12)</f>
        <v/>
      </c>
      <c r="I245" s="13">
        <f>K244*G245/12</f>
        <v/>
      </c>
      <c r="J245" s="13">
        <f>MIN(H245,K244+I245)</f>
        <v/>
      </c>
      <c r="K245" s="13">
        <f>MAX(0,K244+I245-J245)</f>
        <v/>
      </c>
      <c r="L245" s="13">
        <f>Inputs!$B$7+IF(AND(YEAR(A245)=YEAR(Inputs!$B$9),MONTH(A245)=MONTH(Inputs!$B$9)),Inputs!$B$8,0)</f>
        <v/>
      </c>
      <c r="M245" s="13">
        <f>O244*G245/12</f>
        <v/>
      </c>
      <c r="N245" s="13">
        <f>MIN(H245+L245,O244+M245)</f>
        <v/>
      </c>
      <c r="O245" s="13">
        <f>MAX(0,O244+M245-N245)</f>
        <v/>
      </c>
    </row>
    <row r="246">
      <c r="A246" s="11" t="n">
        <v>53540</v>
      </c>
      <c r="B246" s="15">
        <f>IF(MONTH(A246)=4,B245*(1+Inputs!$B$6),B245)</f>
        <v/>
      </c>
      <c r="C246" s="15">
        <f>IF(AND(MONTH(A246)=4,YEAR(A246)&gt;=Inputs!$B$20),C245*(1+Inputs!$B$21),C245)</f>
        <v/>
      </c>
      <c r="D246" s="15">
        <f>IF(AND(MONTH(A246)=4,YEAR(A246)&gt;=Inputs!$B$20),D245*(1+Inputs!$B$21),D245)</f>
        <v/>
      </c>
      <c r="E246" s="12">
        <f>VLOOKUP(A246,Inputs!$A$53:$C$55,2,TRUE)</f>
        <v/>
      </c>
      <c r="F246" s="12">
        <f>VLOOKUP(A246,Inputs!$A$53:$C$55,3,TRUE)</f>
        <v/>
      </c>
      <c r="G246" s="12">
        <f>MIN(F246,E246+0.03*MAX(0,MIN(1,(B246-C246)/(D246-C246))))</f>
        <v/>
      </c>
      <c r="H246" s="13">
        <f>MAX(0,0.09*(B246-C246)/12)</f>
        <v/>
      </c>
      <c r="I246" s="13">
        <f>K245*G246/12</f>
        <v/>
      </c>
      <c r="J246" s="13">
        <f>MIN(H246,K245+I246)</f>
        <v/>
      </c>
      <c r="K246" s="13">
        <f>MAX(0,K245+I246-J246)</f>
        <v/>
      </c>
      <c r="L246" s="13">
        <f>Inputs!$B$7+IF(AND(YEAR(A246)=YEAR(Inputs!$B$9),MONTH(A246)=MONTH(Inputs!$B$9)),Inputs!$B$8,0)</f>
        <v/>
      </c>
      <c r="M246" s="13">
        <f>O245*G246/12</f>
        <v/>
      </c>
      <c r="N246" s="13">
        <f>MIN(H246+L246,O245+M246)</f>
        <v/>
      </c>
      <c r="O246" s="13">
        <f>MAX(0,O245+M246-N246)</f>
        <v/>
      </c>
    </row>
    <row r="247">
      <c r="A247" s="11" t="n">
        <v>53571</v>
      </c>
      <c r="B247" s="15">
        <f>IF(MONTH(A247)=4,B246*(1+Inputs!$B$6),B246)</f>
        <v/>
      </c>
      <c r="C247" s="15">
        <f>IF(AND(MONTH(A247)=4,YEAR(A247)&gt;=Inputs!$B$20),C246*(1+Inputs!$B$21),C246)</f>
        <v/>
      </c>
      <c r="D247" s="15">
        <f>IF(AND(MONTH(A247)=4,YEAR(A247)&gt;=Inputs!$B$20),D246*(1+Inputs!$B$21),D246)</f>
        <v/>
      </c>
      <c r="E247" s="12">
        <f>VLOOKUP(A247,Inputs!$A$53:$C$55,2,TRUE)</f>
        <v/>
      </c>
      <c r="F247" s="12">
        <f>VLOOKUP(A247,Inputs!$A$53:$C$55,3,TRUE)</f>
        <v/>
      </c>
      <c r="G247" s="12">
        <f>MIN(F247,E247+0.03*MAX(0,MIN(1,(B247-C247)/(D247-C247))))</f>
        <v/>
      </c>
      <c r="H247" s="13">
        <f>MAX(0,0.09*(B247-C247)/12)</f>
        <v/>
      </c>
      <c r="I247" s="13">
        <f>K246*G247/12</f>
        <v/>
      </c>
      <c r="J247" s="13">
        <f>MIN(H247,K246+I247)</f>
        <v/>
      </c>
      <c r="K247" s="13">
        <f>MAX(0,K246+I247-J247)</f>
        <v/>
      </c>
      <c r="L247" s="13">
        <f>Inputs!$B$7+IF(AND(YEAR(A247)=YEAR(Inputs!$B$9),MONTH(A247)=MONTH(Inputs!$B$9)),Inputs!$B$8,0)</f>
        <v/>
      </c>
      <c r="M247" s="13">
        <f>O246*G247/12</f>
        <v/>
      </c>
      <c r="N247" s="13">
        <f>MIN(H247+L247,O246+M247)</f>
        <v/>
      </c>
      <c r="O247" s="13">
        <f>MAX(0,O246+M247-N247)</f>
        <v/>
      </c>
    </row>
    <row r="248">
      <c r="A248" s="11" t="n">
        <v>53601</v>
      </c>
      <c r="B248" s="15">
        <f>IF(MONTH(A248)=4,B247*(1+Inputs!$B$6),B247)</f>
        <v/>
      </c>
      <c r="C248" s="15">
        <f>IF(AND(MONTH(A248)=4,YEAR(A248)&gt;=Inputs!$B$20),C247*(1+Inputs!$B$21),C247)</f>
        <v/>
      </c>
      <c r="D248" s="15">
        <f>IF(AND(MONTH(A248)=4,YEAR(A248)&gt;=Inputs!$B$20),D247*(1+Inputs!$B$21),D247)</f>
        <v/>
      </c>
      <c r="E248" s="12">
        <f>VLOOKUP(A248,Inputs!$A$53:$C$55,2,TRUE)</f>
        <v/>
      </c>
      <c r="F248" s="12">
        <f>VLOOKUP(A248,Inputs!$A$53:$C$55,3,TRUE)</f>
        <v/>
      </c>
      <c r="G248" s="12">
        <f>MIN(F248,E248+0.03*MAX(0,MIN(1,(B248-C248)/(D248-C248))))</f>
        <v/>
      </c>
      <c r="H248" s="13">
        <f>MAX(0,0.09*(B248-C248)/12)</f>
        <v/>
      </c>
      <c r="I248" s="13">
        <f>K247*G248/12</f>
        <v/>
      </c>
      <c r="J248" s="13">
        <f>MIN(H248,K247+I248)</f>
        <v/>
      </c>
      <c r="K248" s="13">
        <f>MAX(0,K247+I248-J248)</f>
        <v/>
      </c>
      <c r="L248" s="13">
        <f>Inputs!$B$7+IF(AND(YEAR(A248)=YEAR(Inputs!$B$9),MONTH(A248)=MONTH(Inputs!$B$9)),Inputs!$B$8,0)</f>
        <v/>
      </c>
      <c r="M248" s="13">
        <f>O247*G248/12</f>
        <v/>
      </c>
      <c r="N248" s="13">
        <f>MIN(H248+L248,O247+M248)</f>
        <v/>
      </c>
      <c r="O248" s="13">
        <f>MAX(0,O247+M248-N248)</f>
        <v/>
      </c>
    </row>
    <row r="249">
      <c r="A249" s="11" t="n">
        <v>53632</v>
      </c>
      <c r="B249" s="15">
        <f>IF(MONTH(A249)=4,B248*(1+Inputs!$B$6),B248)</f>
        <v/>
      </c>
      <c r="C249" s="15">
        <f>IF(AND(MONTH(A249)=4,YEAR(A249)&gt;=Inputs!$B$20),C248*(1+Inputs!$B$21),C248)</f>
        <v/>
      </c>
      <c r="D249" s="15">
        <f>IF(AND(MONTH(A249)=4,YEAR(A249)&gt;=Inputs!$B$20),D248*(1+Inputs!$B$21),D248)</f>
        <v/>
      </c>
      <c r="E249" s="12">
        <f>VLOOKUP(A249,Inputs!$A$53:$C$55,2,TRUE)</f>
        <v/>
      </c>
      <c r="F249" s="12">
        <f>VLOOKUP(A249,Inputs!$A$53:$C$55,3,TRUE)</f>
        <v/>
      </c>
      <c r="G249" s="12">
        <f>MIN(F249,E249+0.03*MAX(0,MIN(1,(B249-C249)/(D249-C249))))</f>
        <v/>
      </c>
      <c r="H249" s="13">
        <f>MAX(0,0.09*(B249-C249)/12)</f>
        <v/>
      </c>
      <c r="I249" s="13">
        <f>K248*G249/12</f>
        <v/>
      </c>
      <c r="J249" s="13">
        <f>MIN(H249,K248+I249)</f>
        <v/>
      </c>
      <c r="K249" s="13">
        <f>MAX(0,K248+I249-J249)</f>
        <v/>
      </c>
      <c r="L249" s="13">
        <f>Inputs!$B$7+IF(AND(YEAR(A249)=YEAR(Inputs!$B$9),MONTH(A249)=MONTH(Inputs!$B$9)),Inputs!$B$8,0)</f>
        <v/>
      </c>
      <c r="M249" s="13">
        <f>O248*G249/12</f>
        <v/>
      </c>
      <c r="N249" s="13">
        <f>MIN(H249+L249,O248+M249)</f>
        <v/>
      </c>
      <c r="O249" s="13">
        <f>MAX(0,O248+M249-N249)</f>
        <v/>
      </c>
    </row>
    <row r="250">
      <c r="A250" s="11" t="n">
        <v>53662</v>
      </c>
      <c r="B250" s="15">
        <f>IF(MONTH(A250)=4,B249*(1+Inputs!$B$6),B249)</f>
        <v/>
      </c>
      <c r="C250" s="15">
        <f>IF(AND(MONTH(A250)=4,YEAR(A250)&gt;=Inputs!$B$20),C249*(1+Inputs!$B$21),C249)</f>
        <v/>
      </c>
      <c r="D250" s="15">
        <f>IF(AND(MONTH(A250)=4,YEAR(A250)&gt;=Inputs!$B$20),D249*(1+Inputs!$B$21),D249)</f>
        <v/>
      </c>
      <c r="E250" s="12">
        <f>VLOOKUP(A250,Inputs!$A$53:$C$55,2,TRUE)</f>
        <v/>
      </c>
      <c r="F250" s="12">
        <f>VLOOKUP(A250,Inputs!$A$53:$C$55,3,TRUE)</f>
        <v/>
      </c>
      <c r="G250" s="12">
        <f>MIN(F250,E250+0.03*MAX(0,MIN(1,(B250-C250)/(D250-C250))))</f>
        <v/>
      </c>
      <c r="H250" s="13">
        <f>MAX(0,0.09*(B250-C250)/12)</f>
        <v/>
      </c>
      <c r="I250" s="13">
        <f>K249*G250/12</f>
        <v/>
      </c>
      <c r="J250" s="13">
        <f>MIN(H250,K249+I250)</f>
        <v/>
      </c>
      <c r="K250" s="13">
        <f>MAX(0,K249+I250-J250)</f>
        <v/>
      </c>
      <c r="L250" s="13">
        <f>Inputs!$B$7+IF(AND(YEAR(A250)=YEAR(Inputs!$B$9),MONTH(A250)=MONTH(Inputs!$B$9)),Inputs!$B$8,0)</f>
        <v/>
      </c>
      <c r="M250" s="13">
        <f>O249*G250/12</f>
        <v/>
      </c>
      <c r="N250" s="13">
        <f>MIN(H250+L250,O249+M250)</f>
        <v/>
      </c>
      <c r="O250" s="13">
        <f>MAX(0,O249+M250-N250)</f>
        <v/>
      </c>
    </row>
    <row r="251">
      <c r="A251" s="11" t="n">
        <v>53693</v>
      </c>
      <c r="B251" s="15">
        <f>IF(MONTH(A251)=4,B250*(1+Inputs!$B$6),B250)</f>
        <v/>
      </c>
      <c r="C251" s="15">
        <f>IF(AND(MONTH(A251)=4,YEAR(A251)&gt;=Inputs!$B$20),C250*(1+Inputs!$B$21),C250)</f>
        <v/>
      </c>
      <c r="D251" s="15">
        <f>IF(AND(MONTH(A251)=4,YEAR(A251)&gt;=Inputs!$B$20),D250*(1+Inputs!$B$21),D250)</f>
        <v/>
      </c>
      <c r="E251" s="12">
        <f>VLOOKUP(A251,Inputs!$A$53:$C$55,2,TRUE)</f>
        <v/>
      </c>
      <c r="F251" s="12">
        <f>VLOOKUP(A251,Inputs!$A$53:$C$55,3,TRUE)</f>
        <v/>
      </c>
      <c r="G251" s="12">
        <f>MIN(F251,E251+0.03*MAX(0,MIN(1,(B251-C251)/(D251-C251))))</f>
        <v/>
      </c>
      <c r="H251" s="13">
        <f>MAX(0,0.09*(B251-C251)/12)</f>
        <v/>
      </c>
      <c r="I251" s="13">
        <f>K250*G251/12</f>
        <v/>
      </c>
      <c r="J251" s="13">
        <f>MIN(H251,K250+I251)</f>
        <v/>
      </c>
      <c r="K251" s="13">
        <f>MAX(0,K250+I251-J251)</f>
        <v/>
      </c>
      <c r="L251" s="13">
        <f>Inputs!$B$7+IF(AND(YEAR(A251)=YEAR(Inputs!$B$9),MONTH(A251)=MONTH(Inputs!$B$9)),Inputs!$B$8,0)</f>
        <v/>
      </c>
      <c r="M251" s="13">
        <f>O250*G251/12</f>
        <v/>
      </c>
      <c r="N251" s="13">
        <f>MIN(H251+L251,O250+M251)</f>
        <v/>
      </c>
      <c r="O251" s="13">
        <f>MAX(0,O250+M251-N251)</f>
        <v/>
      </c>
    </row>
    <row r="252">
      <c r="A252" s="11" t="n">
        <v>53724</v>
      </c>
      <c r="B252" s="15">
        <f>IF(MONTH(A252)=4,B251*(1+Inputs!$B$6),B251)</f>
        <v/>
      </c>
      <c r="C252" s="15">
        <f>IF(AND(MONTH(A252)=4,YEAR(A252)&gt;=Inputs!$B$20),C251*(1+Inputs!$B$21),C251)</f>
        <v/>
      </c>
      <c r="D252" s="15">
        <f>IF(AND(MONTH(A252)=4,YEAR(A252)&gt;=Inputs!$B$20),D251*(1+Inputs!$B$21),D251)</f>
        <v/>
      </c>
      <c r="E252" s="12">
        <f>VLOOKUP(A252,Inputs!$A$53:$C$55,2,TRUE)</f>
        <v/>
      </c>
      <c r="F252" s="12">
        <f>VLOOKUP(A252,Inputs!$A$53:$C$55,3,TRUE)</f>
        <v/>
      </c>
      <c r="G252" s="12">
        <f>MIN(F252,E252+0.03*MAX(0,MIN(1,(B252-C252)/(D252-C252))))</f>
        <v/>
      </c>
      <c r="H252" s="13">
        <f>MAX(0,0.09*(B252-C252)/12)</f>
        <v/>
      </c>
      <c r="I252" s="13">
        <f>K251*G252/12</f>
        <v/>
      </c>
      <c r="J252" s="13">
        <f>MIN(H252,K251+I252)</f>
        <v/>
      </c>
      <c r="K252" s="13">
        <f>MAX(0,K251+I252-J252)</f>
        <v/>
      </c>
      <c r="L252" s="13">
        <f>Inputs!$B$7+IF(AND(YEAR(A252)=YEAR(Inputs!$B$9),MONTH(A252)=MONTH(Inputs!$B$9)),Inputs!$B$8,0)</f>
        <v/>
      </c>
      <c r="M252" s="13">
        <f>O251*G252/12</f>
        <v/>
      </c>
      <c r="N252" s="13">
        <f>MIN(H252+L252,O251+M252)</f>
        <v/>
      </c>
      <c r="O252" s="13">
        <f>MAX(0,O251+M252-N252)</f>
        <v/>
      </c>
    </row>
    <row r="253">
      <c r="A253" s="11" t="n">
        <v>53752</v>
      </c>
      <c r="B253" s="15">
        <f>IF(MONTH(A253)=4,B252*(1+Inputs!$B$6),B252)</f>
        <v/>
      </c>
      <c r="C253" s="15">
        <f>IF(AND(MONTH(A253)=4,YEAR(A253)&gt;=Inputs!$B$20),C252*(1+Inputs!$B$21),C252)</f>
        <v/>
      </c>
      <c r="D253" s="15">
        <f>IF(AND(MONTH(A253)=4,YEAR(A253)&gt;=Inputs!$B$20),D252*(1+Inputs!$B$21),D252)</f>
        <v/>
      </c>
      <c r="E253" s="12">
        <f>VLOOKUP(A253,Inputs!$A$53:$C$55,2,TRUE)</f>
        <v/>
      </c>
      <c r="F253" s="12">
        <f>VLOOKUP(A253,Inputs!$A$53:$C$55,3,TRUE)</f>
        <v/>
      </c>
      <c r="G253" s="12">
        <f>MIN(F253,E253+0.03*MAX(0,MIN(1,(B253-C253)/(D253-C253))))</f>
        <v/>
      </c>
      <c r="H253" s="13">
        <f>MAX(0,0.09*(B253-C253)/12)</f>
        <v/>
      </c>
      <c r="I253" s="13">
        <f>K252*G253/12</f>
        <v/>
      </c>
      <c r="J253" s="13">
        <f>MIN(H253,K252+I253)</f>
        <v/>
      </c>
      <c r="K253" s="13">
        <f>MAX(0,K252+I253-J253)</f>
        <v/>
      </c>
      <c r="L253" s="13">
        <f>Inputs!$B$7+IF(AND(YEAR(A253)=YEAR(Inputs!$B$9),MONTH(A253)=MONTH(Inputs!$B$9)),Inputs!$B$8,0)</f>
        <v/>
      </c>
      <c r="M253" s="13">
        <f>O252*G253/12</f>
        <v/>
      </c>
      <c r="N253" s="13">
        <f>MIN(H253+L253,O252+M253)</f>
        <v/>
      </c>
      <c r="O253" s="13">
        <f>MAX(0,O252+M253-N253)</f>
        <v/>
      </c>
    </row>
    <row r="254">
      <c r="A254" s="11" t="n">
        <v>53783</v>
      </c>
      <c r="B254" s="15">
        <f>IF(MONTH(A254)=4,B253*(1+Inputs!$B$6),B253)</f>
        <v/>
      </c>
      <c r="C254" s="15">
        <f>IF(AND(MONTH(A254)=4,YEAR(A254)&gt;=Inputs!$B$20),C253*(1+Inputs!$B$21),C253)</f>
        <v/>
      </c>
      <c r="D254" s="15">
        <f>IF(AND(MONTH(A254)=4,YEAR(A254)&gt;=Inputs!$B$20),D253*(1+Inputs!$B$21),D253)</f>
        <v/>
      </c>
      <c r="E254" s="12">
        <f>VLOOKUP(A254,Inputs!$A$53:$C$55,2,TRUE)</f>
        <v/>
      </c>
      <c r="F254" s="12">
        <f>VLOOKUP(A254,Inputs!$A$53:$C$55,3,TRUE)</f>
        <v/>
      </c>
      <c r="G254" s="12">
        <f>MIN(F254,E254+0.03*MAX(0,MIN(1,(B254-C254)/(D254-C254))))</f>
        <v/>
      </c>
      <c r="H254" s="13">
        <f>MAX(0,0.09*(B254-C254)/12)</f>
        <v/>
      </c>
      <c r="I254" s="13">
        <f>K253*G254/12</f>
        <v/>
      </c>
      <c r="J254" s="13">
        <f>MIN(H254,K253+I254)</f>
        <v/>
      </c>
      <c r="K254" s="13">
        <f>MAX(0,K253+I254-J254)</f>
        <v/>
      </c>
      <c r="L254" s="13">
        <f>Inputs!$B$7+IF(AND(YEAR(A254)=YEAR(Inputs!$B$9),MONTH(A254)=MONTH(Inputs!$B$9)),Inputs!$B$8,0)</f>
        <v/>
      </c>
      <c r="M254" s="13">
        <f>O253*G254/12</f>
        <v/>
      </c>
      <c r="N254" s="13">
        <f>MIN(H254+L254,O253+M254)</f>
        <v/>
      </c>
      <c r="O254" s="13">
        <f>MAX(0,O253+M254-N254)</f>
        <v/>
      </c>
    </row>
    <row r="255">
      <c r="A255" s="11" t="n">
        <v>53813</v>
      </c>
      <c r="B255" s="15">
        <f>IF(MONTH(A255)=4,B254*(1+Inputs!$B$6),B254)</f>
        <v/>
      </c>
      <c r="C255" s="15">
        <f>IF(AND(MONTH(A255)=4,YEAR(A255)&gt;=Inputs!$B$20),C254*(1+Inputs!$B$21),C254)</f>
        <v/>
      </c>
      <c r="D255" s="15">
        <f>IF(AND(MONTH(A255)=4,YEAR(A255)&gt;=Inputs!$B$20),D254*(1+Inputs!$B$21),D254)</f>
        <v/>
      </c>
      <c r="E255" s="12">
        <f>VLOOKUP(A255,Inputs!$A$53:$C$55,2,TRUE)</f>
        <v/>
      </c>
      <c r="F255" s="12">
        <f>VLOOKUP(A255,Inputs!$A$53:$C$55,3,TRUE)</f>
        <v/>
      </c>
      <c r="G255" s="12">
        <f>MIN(F255,E255+0.03*MAX(0,MIN(1,(B255-C255)/(D255-C255))))</f>
        <v/>
      </c>
      <c r="H255" s="13">
        <f>MAX(0,0.09*(B255-C255)/12)</f>
        <v/>
      </c>
      <c r="I255" s="13">
        <f>K254*G255/12</f>
        <v/>
      </c>
      <c r="J255" s="13">
        <f>MIN(H255,K254+I255)</f>
        <v/>
      </c>
      <c r="K255" s="13">
        <f>MAX(0,K254+I255-J255)</f>
        <v/>
      </c>
      <c r="L255" s="13">
        <f>Inputs!$B$7+IF(AND(YEAR(A255)=YEAR(Inputs!$B$9),MONTH(A255)=MONTH(Inputs!$B$9)),Inputs!$B$8,0)</f>
        <v/>
      </c>
      <c r="M255" s="13">
        <f>O254*G255/12</f>
        <v/>
      </c>
      <c r="N255" s="13">
        <f>MIN(H255+L255,O254+M255)</f>
        <v/>
      </c>
      <c r="O255" s="13">
        <f>MAX(0,O254+M255-N255)</f>
        <v/>
      </c>
    </row>
    <row r="256">
      <c r="A256" s="11" t="n">
        <v>53844</v>
      </c>
      <c r="B256" s="15">
        <f>IF(MONTH(A256)=4,B255*(1+Inputs!$B$6),B255)</f>
        <v/>
      </c>
      <c r="C256" s="15">
        <f>IF(AND(MONTH(A256)=4,YEAR(A256)&gt;=Inputs!$B$20),C255*(1+Inputs!$B$21),C255)</f>
        <v/>
      </c>
      <c r="D256" s="15">
        <f>IF(AND(MONTH(A256)=4,YEAR(A256)&gt;=Inputs!$B$20),D255*(1+Inputs!$B$21),D255)</f>
        <v/>
      </c>
      <c r="E256" s="12">
        <f>VLOOKUP(A256,Inputs!$A$53:$C$55,2,TRUE)</f>
        <v/>
      </c>
      <c r="F256" s="12">
        <f>VLOOKUP(A256,Inputs!$A$53:$C$55,3,TRUE)</f>
        <v/>
      </c>
      <c r="G256" s="12">
        <f>MIN(F256,E256+0.03*MAX(0,MIN(1,(B256-C256)/(D256-C256))))</f>
        <v/>
      </c>
      <c r="H256" s="13">
        <f>MAX(0,0.09*(B256-C256)/12)</f>
        <v/>
      </c>
      <c r="I256" s="13">
        <f>K255*G256/12</f>
        <v/>
      </c>
      <c r="J256" s="13">
        <f>MIN(H256,K255+I256)</f>
        <v/>
      </c>
      <c r="K256" s="13">
        <f>MAX(0,K255+I256-J256)</f>
        <v/>
      </c>
      <c r="L256" s="13">
        <f>Inputs!$B$7+IF(AND(YEAR(A256)=YEAR(Inputs!$B$9),MONTH(A256)=MONTH(Inputs!$B$9)),Inputs!$B$8,0)</f>
        <v/>
      </c>
      <c r="M256" s="13">
        <f>O255*G256/12</f>
        <v/>
      </c>
      <c r="N256" s="13">
        <f>MIN(H256+L256,O255+M256)</f>
        <v/>
      </c>
      <c r="O256" s="13">
        <f>MAX(0,O255+M256-N256)</f>
        <v/>
      </c>
    </row>
    <row r="257">
      <c r="A257" s="11" t="n">
        <v>53874</v>
      </c>
      <c r="B257" s="15">
        <f>IF(MONTH(A257)=4,B256*(1+Inputs!$B$6),B256)</f>
        <v/>
      </c>
      <c r="C257" s="15">
        <f>IF(AND(MONTH(A257)=4,YEAR(A257)&gt;=Inputs!$B$20),C256*(1+Inputs!$B$21),C256)</f>
        <v/>
      </c>
      <c r="D257" s="15">
        <f>IF(AND(MONTH(A257)=4,YEAR(A257)&gt;=Inputs!$B$20),D256*(1+Inputs!$B$21),D256)</f>
        <v/>
      </c>
      <c r="E257" s="12">
        <f>VLOOKUP(A257,Inputs!$A$53:$C$55,2,TRUE)</f>
        <v/>
      </c>
      <c r="F257" s="12">
        <f>VLOOKUP(A257,Inputs!$A$53:$C$55,3,TRUE)</f>
        <v/>
      </c>
      <c r="G257" s="12">
        <f>MIN(F257,E257+0.03*MAX(0,MIN(1,(B257-C257)/(D257-C257))))</f>
        <v/>
      </c>
      <c r="H257" s="13">
        <f>MAX(0,0.09*(B257-C257)/12)</f>
        <v/>
      </c>
      <c r="I257" s="13">
        <f>K256*G257/12</f>
        <v/>
      </c>
      <c r="J257" s="13">
        <f>MIN(H257,K256+I257)</f>
        <v/>
      </c>
      <c r="K257" s="13">
        <f>MAX(0,K256+I257-J257)</f>
        <v/>
      </c>
      <c r="L257" s="13">
        <f>Inputs!$B$7+IF(AND(YEAR(A257)=YEAR(Inputs!$B$9),MONTH(A257)=MONTH(Inputs!$B$9)),Inputs!$B$8,0)</f>
        <v/>
      </c>
      <c r="M257" s="13">
        <f>O256*G257/12</f>
        <v/>
      </c>
      <c r="N257" s="13">
        <f>MIN(H257+L257,O256+M257)</f>
        <v/>
      </c>
      <c r="O257" s="13">
        <f>MAX(0,O256+M257-N257)</f>
        <v/>
      </c>
    </row>
    <row r="258">
      <c r="A258" s="11" t="n">
        <v>53905</v>
      </c>
      <c r="B258" s="15">
        <f>IF(MONTH(A258)=4,B257*(1+Inputs!$B$6),B257)</f>
        <v/>
      </c>
      <c r="C258" s="15">
        <f>IF(AND(MONTH(A258)=4,YEAR(A258)&gt;=Inputs!$B$20),C257*(1+Inputs!$B$21),C257)</f>
        <v/>
      </c>
      <c r="D258" s="15">
        <f>IF(AND(MONTH(A258)=4,YEAR(A258)&gt;=Inputs!$B$20),D257*(1+Inputs!$B$21),D257)</f>
        <v/>
      </c>
      <c r="E258" s="12">
        <f>VLOOKUP(A258,Inputs!$A$53:$C$55,2,TRUE)</f>
        <v/>
      </c>
      <c r="F258" s="12">
        <f>VLOOKUP(A258,Inputs!$A$53:$C$55,3,TRUE)</f>
        <v/>
      </c>
      <c r="G258" s="12">
        <f>MIN(F258,E258+0.03*MAX(0,MIN(1,(B258-C258)/(D258-C258))))</f>
        <v/>
      </c>
      <c r="H258" s="13">
        <f>MAX(0,0.09*(B258-C258)/12)</f>
        <v/>
      </c>
      <c r="I258" s="13">
        <f>K257*G258/12</f>
        <v/>
      </c>
      <c r="J258" s="13">
        <f>MIN(H258,K257+I258)</f>
        <v/>
      </c>
      <c r="K258" s="13">
        <f>MAX(0,K257+I258-J258)</f>
        <v/>
      </c>
      <c r="L258" s="13">
        <f>Inputs!$B$7+IF(AND(YEAR(A258)=YEAR(Inputs!$B$9),MONTH(A258)=MONTH(Inputs!$B$9)),Inputs!$B$8,0)</f>
        <v/>
      </c>
      <c r="M258" s="13">
        <f>O257*G258/12</f>
        <v/>
      </c>
      <c r="N258" s="13">
        <f>MIN(H258+L258,O257+M258)</f>
        <v/>
      </c>
      <c r="O258" s="13">
        <f>MAX(0,O257+M258-N258)</f>
        <v/>
      </c>
    </row>
    <row r="259">
      <c r="A259" s="11" t="n">
        <v>53936</v>
      </c>
      <c r="B259" s="15">
        <f>IF(MONTH(A259)=4,B258*(1+Inputs!$B$6),B258)</f>
        <v/>
      </c>
      <c r="C259" s="15">
        <f>IF(AND(MONTH(A259)=4,YEAR(A259)&gt;=Inputs!$B$20),C258*(1+Inputs!$B$21),C258)</f>
        <v/>
      </c>
      <c r="D259" s="15">
        <f>IF(AND(MONTH(A259)=4,YEAR(A259)&gt;=Inputs!$B$20),D258*(1+Inputs!$B$21),D258)</f>
        <v/>
      </c>
      <c r="E259" s="12">
        <f>VLOOKUP(A259,Inputs!$A$53:$C$55,2,TRUE)</f>
        <v/>
      </c>
      <c r="F259" s="12">
        <f>VLOOKUP(A259,Inputs!$A$53:$C$55,3,TRUE)</f>
        <v/>
      </c>
      <c r="G259" s="12">
        <f>MIN(F259,E259+0.03*MAX(0,MIN(1,(B259-C259)/(D259-C259))))</f>
        <v/>
      </c>
      <c r="H259" s="13">
        <f>MAX(0,0.09*(B259-C259)/12)</f>
        <v/>
      </c>
      <c r="I259" s="13">
        <f>K258*G259/12</f>
        <v/>
      </c>
      <c r="J259" s="13">
        <f>MIN(H259,K258+I259)</f>
        <v/>
      </c>
      <c r="K259" s="13">
        <f>MAX(0,K258+I259-J259)</f>
        <v/>
      </c>
      <c r="L259" s="13">
        <f>Inputs!$B$7+IF(AND(YEAR(A259)=YEAR(Inputs!$B$9),MONTH(A259)=MONTH(Inputs!$B$9)),Inputs!$B$8,0)</f>
        <v/>
      </c>
      <c r="M259" s="13">
        <f>O258*G259/12</f>
        <v/>
      </c>
      <c r="N259" s="13">
        <f>MIN(H259+L259,O258+M259)</f>
        <v/>
      </c>
      <c r="O259" s="13">
        <f>MAX(0,O258+M259-N259)</f>
        <v/>
      </c>
    </row>
    <row r="260">
      <c r="A260" s="11" t="n">
        <v>53966</v>
      </c>
      <c r="B260" s="15">
        <f>IF(MONTH(A260)=4,B259*(1+Inputs!$B$6),B259)</f>
        <v/>
      </c>
      <c r="C260" s="15">
        <f>IF(AND(MONTH(A260)=4,YEAR(A260)&gt;=Inputs!$B$20),C259*(1+Inputs!$B$21),C259)</f>
        <v/>
      </c>
      <c r="D260" s="15">
        <f>IF(AND(MONTH(A260)=4,YEAR(A260)&gt;=Inputs!$B$20),D259*(1+Inputs!$B$21),D259)</f>
        <v/>
      </c>
      <c r="E260" s="12">
        <f>VLOOKUP(A260,Inputs!$A$53:$C$55,2,TRUE)</f>
        <v/>
      </c>
      <c r="F260" s="12">
        <f>VLOOKUP(A260,Inputs!$A$53:$C$55,3,TRUE)</f>
        <v/>
      </c>
      <c r="G260" s="12">
        <f>MIN(F260,E260+0.03*MAX(0,MIN(1,(B260-C260)/(D260-C260))))</f>
        <v/>
      </c>
      <c r="H260" s="13">
        <f>MAX(0,0.09*(B260-C260)/12)</f>
        <v/>
      </c>
      <c r="I260" s="13">
        <f>K259*G260/12</f>
        <v/>
      </c>
      <c r="J260" s="13">
        <f>MIN(H260,K259+I260)</f>
        <v/>
      </c>
      <c r="K260" s="13">
        <f>MAX(0,K259+I260-J260)</f>
        <v/>
      </c>
      <c r="L260" s="13">
        <f>Inputs!$B$7+IF(AND(YEAR(A260)=YEAR(Inputs!$B$9),MONTH(A260)=MONTH(Inputs!$B$9)),Inputs!$B$8,0)</f>
        <v/>
      </c>
      <c r="M260" s="13">
        <f>O259*G260/12</f>
        <v/>
      </c>
      <c r="N260" s="13">
        <f>MIN(H260+L260,O259+M260)</f>
        <v/>
      </c>
      <c r="O260" s="13">
        <f>MAX(0,O259+M260-N260)</f>
        <v/>
      </c>
    </row>
    <row r="261">
      <c r="A261" s="11" t="n">
        <v>53997</v>
      </c>
      <c r="B261" s="15">
        <f>IF(MONTH(A261)=4,B260*(1+Inputs!$B$6),B260)</f>
        <v/>
      </c>
      <c r="C261" s="15">
        <f>IF(AND(MONTH(A261)=4,YEAR(A261)&gt;=Inputs!$B$20),C260*(1+Inputs!$B$21),C260)</f>
        <v/>
      </c>
      <c r="D261" s="15">
        <f>IF(AND(MONTH(A261)=4,YEAR(A261)&gt;=Inputs!$B$20),D260*(1+Inputs!$B$21),D260)</f>
        <v/>
      </c>
      <c r="E261" s="12">
        <f>VLOOKUP(A261,Inputs!$A$53:$C$55,2,TRUE)</f>
        <v/>
      </c>
      <c r="F261" s="12">
        <f>VLOOKUP(A261,Inputs!$A$53:$C$55,3,TRUE)</f>
        <v/>
      </c>
      <c r="G261" s="12">
        <f>MIN(F261,E261+0.03*MAX(0,MIN(1,(B261-C261)/(D261-C261))))</f>
        <v/>
      </c>
      <c r="H261" s="13">
        <f>MAX(0,0.09*(B261-C261)/12)</f>
        <v/>
      </c>
      <c r="I261" s="13">
        <f>K260*G261/12</f>
        <v/>
      </c>
      <c r="J261" s="13">
        <f>MIN(H261,K260+I261)</f>
        <v/>
      </c>
      <c r="K261" s="13">
        <f>MAX(0,K260+I261-J261)</f>
        <v/>
      </c>
      <c r="L261" s="13">
        <f>Inputs!$B$7+IF(AND(YEAR(A261)=YEAR(Inputs!$B$9),MONTH(A261)=MONTH(Inputs!$B$9)),Inputs!$B$8,0)</f>
        <v/>
      </c>
      <c r="M261" s="13">
        <f>O260*G261/12</f>
        <v/>
      </c>
      <c r="N261" s="13">
        <f>MIN(H261+L261,O260+M261)</f>
        <v/>
      </c>
      <c r="O261" s="13">
        <f>MAX(0,O260+M261-N261)</f>
        <v/>
      </c>
    </row>
    <row r="262">
      <c r="A262" s="11" t="n">
        <v>54027</v>
      </c>
      <c r="B262" s="15">
        <f>IF(MONTH(A262)=4,B261*(1+Inputs!$B$6),B261)</f>
        <v/>
      </c>
      <c r="C262" s="15">
        <f>IF(AND(MONTH(A262)=4,YEAR(A262)&gt;=Inputs!$B$20),C261*(1+Inputs!$B$21),C261)</f>
        <v/>
      </c>
      <c r="D262" s="15">
        <f>IF(AND(MONTH(A262)=4,YEAR(A262)&gt;=Inputs!$B$20),D261*(1+Inputs!$B$21),D261)</f>
        <v/>
      </c>
      <c r="E262" s="12">
        <f>VLOOKUP(A262,Inputs!$A$53:$C$55,2,TRUE)</f>
        <v/>
      </c>
      <c r="F262" s="12">
        <f>VLOOKUP(A262,Inputs!$A$53:$C$55,3,TRUE)</f>
        <v/>
      </c>
      <c r="G262" s="12">
        <f>MIN(F262,E262+0.03*MAX(0,MIN(1,(B262-C262)/(D262-C262))))</f>
        <v/>
      </c>
      <c r="H262" s="13">
        <f>MAX(0,0.09*(B262-C262)/12)</f>
        <v/>
      </c>
      <c r="I262" s="13">
        <f>K261*G262/12</f>
        <v/>
      </c>
      <c r="J262" s="13">
        <f>MIN(H262,K261+I262)</f>
        <v/>
      </c>
      <c r="K262" s="13">
        <f>MAX(0,K261+I262-J262)</f>
        <v/>
      </c>
      <c r="L262" s="13">
        <f>Inputs!$B$7+IF(AND(YEAR(A262)=YEAR(Inputs!$B$9),MONTH(A262)=MONTH(Inputs!$B$9)),Inputs!$B$8,0)</f>
        <v/>
      </c>
      <c r="M262" s="13">
        <f>O261*G262/12</f>
        <v/>
      </c>
      <c r="N262" s="13">
        <f>MIN(H262+L262,O261+M262)</f>
        <v/>
      </c>
      <c r="O262" s="13">
        <f>MAX(0,O261+M262-N262)</f>
        <v/>
      </c>
    </row>
    <row r="263">
      <c r="A263" s="11" t="n">
        <v>54058</v>
      </c>
      <c r="B263" s="15">
        <f>IF(MONTH(A263)=4,B262*(1+Inputs!$B$6),B262)</f>
        <v/>
      </c>
      <c r="C263" s="15">
        <f>IF(AND(MONTH(A263)=4,YEAR(A263)&gt;=Inputs!$B$20),C262*(1+Inputs!$B$21),C262)</f>
        <v/>
      </c>
      <c r="D263" s="15">
        <f>IF(AND(MONTH(A263)=4,YEAR(A263)&gt;=Inputs!$B$20),D262*(1+Inputs!$B$21),D262)</f>
        <v/>
      </c>
      <c r="E263" s="12">
        <f>VLOOKUP(A263,Inputs!$A$53:$C$55,2,TRUE)</f>
        <v/>
      </c>
      <c r="F263" s="12">
        <f>VLOOKUP(A263,Inputs!$A$53:$C$55,3,TRUE)</f>
        <v/>
      </c>
      <c r="G263" s="12">
        <f>MIN(F263,E263+0.03*MAX(0,MIN(1,(B263-C263)/(D263-C263))))</f>
        <v/>
      </c>
      <c r="H263" s="13">
        <f>MAX(0,0.09*(B263-C263)/12)</f>
        <v/>
      </c>
      <c r="I263" s="13">
        <f>K262*G263/12</f>
        <v/>
      </c>
      <c r="J263" s="13">
        <f>MIN(H263,K262+I263)</f>
        <v/>
      </c>
      <c r="K263" s="13">
        <f>MAX(0,K262+I263-J263)</f>
        <v/>
      </c>
      <c r="L263" s="13">
        <f>Inputs!$B$7+IF(AND(YEAR(A263)=YEAR(Inputs!$B$9),MONTH(A263)=MONTH(Inputs!$B$9)),Inputs!$B$8,0)</f>
        <v/>
      </c>
      <c r="M263" s="13">
        <f>O262*G263/12</f>
        <v/>
      </c>
      <c r="N263" s="13">
        <f>MIN(H263+L263,O262+M263)</f>
        <v/>
      </c>
      <c r="O263" s="13">
        <f>MAX(0,O262+M263-N263)</f>
        <v/>
      </c>
    </row>
    <row r="264">
      <c r="A264" s="11" t="n">
        <v>54089</v>
      </c>
      <c r="B264" s="15">
        <f>IF(MONTH(A264)=4,B263*(1+Inputs!$B$6),B263)</f>
        <v/>
      </c>
      <c r="C264" s="15">
        <f>IF(AND(MONTH(A264)=4,YEAR(A264)&gt;=Inputs!$B$20),C263*(1+Inputs!$B$21),C263)</f>
        <v/>
      </c>
      <c r="D264" s="15">
        <f>IF(AND(MONTH(A264)=4,YEAR(A264)&gt;=Inputs!$B$20),D263*(1+Inputs!$B$21),D263)</f>
        <v/>
      </c>
      <c r="E264" s="12">
        <f>VLOOKUP(A264,Inputs!$A$53:$C$55,2,TRUE)</f>
        <v/>
      </c>
      <c r="F264" s="12">
        <f>VLOOKUP(A264,Inputs!$A$53:$C$55,3,TRUE)</f>
        <v/>
      </c>
      <c r="G264" s="12">
        <f>MIN(F264,E264+0.03*MAX(0,MIN(1,(B264-C264)/(D264-C264))))</f>
        <v/>
      </c>
      <c r="H264" s="13">
        <f>MAX(0,0.09*(B264-C264)/12)</f>
        <v/>
      </c>
      <c r="I264" s="13">
        <f>K263*G264/12</f>
        <v/>
      </c>
      <c r="J264" s="13">
        <f>MIN(H264,K263+I264)</f>
        <v/>
      </c>
      <c r="K264" s="13">
        <f>MAX(0,K263+I264-J264)</f>
        <v/>
      </c>
      <c r="L264" s="13">
        <f>Inputs!$B$7+IF(AND(YEAR(A264)=YEAR(Inputs!$B$9),MONTH(A264)=MONTH(Inputs!$B$9)),Inputs!$B$8,0)</f>
        <v/>
      </c>
      <c r="M264" s="13">
        <f>O263*G264/12</f>
        <v/>
      </c>
      <c r="N264" s="13">
        <f>MIN(H264+L264,O263+M264)</f>
        <v/>
      </c>
      <c r="O264" s="13">
        <f>MAX(0,O263+M264-N264)</f>
        <v/>
      </c>
    </row>
    <row r="265">
      <c r="A265" s="11" t="n">
        <v>54118</v>
      </c>
      <c r="B265" s="15">
        <f>IF(MONTH(A265)=4,B264*(1+Inputs!$B$6),B264)</f>
        <v/>
      </c>
      <c r="C265" s="15">
        <f>IF(AND(MONTH(A265)=4,YEAR(A265)&gt;=Inputs!$B$20),C264*(1+Inputs!$B$21),C264)</f>
        <v/>
      </c>
      <c r="D265" s="15">
        <f>IF(AND(MONTH(A265)=4,YEAR(A265)&gt;=Inputs!$B$20),D264*(1+Inputs!$B$21),D264)</f>
        <v/>
      </c>
      <c r="E265" s="12">
        <f>VLOOKUP(A265,Inputs!$A$53:$C$55,2,TRUE)</f>
        <v/>
      </c>
      <c r="F265" s="12">
        <f>VLOOKUP(A265,Inputs!$A$53:$C$55,3,TRUE)</f>
        <v/>
      </c>
      <c r="G265" s="12">
        <f>MIN(F265,E265+0.03*MAX(0,MIN(1,(B265-C265)/(D265-C265))))</f>
        <v/>
      </c>
      <c r="H265" s="13">
        <f>MAX(0,0.09*(B265-C265)/12)</f>
        <v/>
      </c>
      <c r="I265" s="13">
        <f>K264*G265/12</f>
        <v/>
      </c>
      <c r="J265" s="13">
        <f>MIN(H265,K264+I265)</f>
        <v/>
      </c>
      <c r="K265" s="13">
        <f>MAX(0,K264+I265-J265)</f>
        <v/>
      </c>
      <c r="L265" s="13">
        <f>Inputs!$B$7+IF(AND(YEAR(A265)=YEAR(Inputs!$B$9),MONTH(A265)=MONTH(Inputs!$B$9)),Inputs!$B$8,0)</f>
        <v/>
      </c>
      <c r="M265" s="13">
        <f>O264*G265/12</f>
        <v/>
      </c>
      <c r="N265" s="13">
        <f>MIN(H265+L265,O264+M265)</f>
        <v/>
      </c>
      <c r="O265" s="13">
        <f>MAX(0,O264+M265-N265)</f>
        <v/>
      </c>
    </row>
    <row r="266">
      <c r="A266" s="11" t="n">
        <v>54149</v>
      </c>
      <c r="B266" s="15">
        <f>IF(MONTH(A266)=4,B265*(1+Inputs!$B$6),B265)</f>
        <v/>
      </c>
      <c r="C266" s="15">
        <f>IF(AND(MONTH(A266)=4,YEAR(A266)&gt;=Inputs!$B$20),C265*(1+Inputs!$B$21),C265)</f>
        <v/>
      </c>
      <c r="D266" s="15">
        <f>IF(AND(MONTH(A266)=4,YEAR(A266)&gt;=Inputs!$B$20),D265*(1+Inputs!$B$21),D265)</f>
        <v/>
      </c>
      <c r="E266" s="12">
        <f>VLOOKUP(A266,Inputs!$A$53:$C$55,2,TRUE)</f>
        <v/>
      </c>
      <c r="F266" s="12">
        <f>VLOOKUP(A266,Inputs!$A$53:$C$55,3,TRUE)</f>
        <v/>
      </c>
      <c r="G266" s="12">
        <f>MIN(F266,E266+0.03*MAX(0,MIN(1,(B266-C266)/(D266-C266))))</f>
        <v/>
      </c>
      <c r="H266" s="13">
        <f>MAX(0,0.09*(B266-C266)/12)</f>
        <v/>
      </c>
      <c r="I266" s="13">
        <f>K265*G266/12</f>
        <v/>
      </c>
      <c r="J266" s="13">
        <f>MIN(H266,K265+I266)</f>
        <v/>
      </c>
      <c r="K266" s="13">
        <f>MAX(0,K265+I266-J266)</f>
        <v/>
      </c>
      <c r="L266" s="13">
        <f>Inputs!$B$7+IF(AND(YEAR(A266)=YEAR(Inputs!$B$9),MONTH(A266)=MONTH(Inputs!$B$9)),Inputs!$B$8,0)</f>
        <v/>
      </c>
      <c r="M266" s="13">
        <f>O265*G266/12</f>
        <v/>
      </c>
      <c r="N266" s="13">
        <f>MIN(H266+L266,O265+M266)</f>
        <v/>
      </c>
      <c r="O266" s="13">
        <f>MAX(0,O265+M266-N266)</f>
        <v/>
      </c>
    </row>
    <row r="267">
      <c r="A267" s="11" t="n">
        <v>54179</v>
      </c>
      <c r="B267" s="15">
        <f>IF(MONTH(A267)=4,B266*(1+Inputs!$B$6),B266)</f>
        <v/>
      </c>
      <c r="C267" s="15">
        <f>IF(AND(MONTH(A267)=4,YEAR(A267)&gt;=Inputs!$B$20),C266*(1+Inputs!$B$21),C266)</f>
        <v/>
      </c>
      <c r="D267" s="15">
        <f>IF(AND(MONTH(A267)=4,YEAR(A267)&gt;=Inputs!$B$20),D266*(1+Inputs!$B$21),D266)</f>
        <v/>
      </c>
      <c r="E267" s="12">
        <f>VLOOKUP(A267,Inputs!$A$53:$C$55,2,TRUE)</f>
        <v/>
      </c>
      <c r="F267" s="12">
        <f>VLOOKUP(A267,Inputs!$A$53:$C$55,3,TRUE)</f>
        <v/>
      </c>
      <c r="G267" s="12">
        <f>MIN(F267,E267+0.03*MAX(0,MIN(1,(B267-C267)/(D267-C267))))</f>
        <v/>
      </c>
      <c r="H267" s="13">
        <f>MAX(0,0.09*(B267-C267)/12)</f>
        <v/>
      </c>
      <c r="I267" s="13">
        <f>K266*G267/12</f>
        <v/>
      </c>
      <c r="J267" s="13">
        <f>MIN(H267,K266+I267)</f>
        <v/>
      </c>
      <c r="K267" s="13">
        <f>MAX(0,K266+I267-J267)</f>
        <v/>
      </c>
      <c r="L267" s="13">
        <f>Inputs!$B$7+IF(AND(YEAR(A267)=YEAR(Inputs!$B$9),MONTH(A267)=MONTH(Inputs!$B$9)),Inputs!$B$8,0)</f>
        <v/>
      </c>
      <c r="M267" s="13">
        <f>O266*G267/12</f>
        <v/>
      </c>
      <c r="N267" s="13">
        <f>MIN(H267+L267,O266+M267)</f>
        <v/>
      </c>
      <c r="O267" s="13">
        <f>MAX(0,O266+M267-N267)</f>
        <v/>
      </c>
    </row>
    <row r="268">
      <c r="A268" s="11" t="n">
        <v>54210</v>
      </c>
      <c r="B268" s="15">
        <f>IF(MONTH(A268)=4,B267*(1+Inputs!$B$6),B267)</f>
        <v/>
      </c>
      <c r="C268" s="15">
        <f>IF(AND(MONTH(A268)=4,YEAR(A268)&gt;=Inputs!$B$20),C267*(1+Inputs!$B$21),C267)</f>
        <v/>
      </c>
      <c r="D268" s="15">
        <f>IF(AND(MONTH(A268)=4,YEAR(A268)&gt;=Inputs!$B$20),D267*(1+Inputs!$B$21),D267)</f>
        <v/>
      </c>
      <c r="E268" s="12">
        <f>VLOOKUP(A268,Inputs!$A$53:$C$55,2,TRUE)</f>
        <v/>
      </c>
      <c r="F268" s="12">
        <f>VLOOKUP(A268,Inputs!$A$53:$C$55,3,TRUE)</f>
        <v/>
      </c>
      <c r="G268" s="12">
        <f>MIN(F268,E268+0.03*MAX(0,MIN(1,(B268-C268)/(D268-C268))))</f>
        <v/>
      </c>
      <c r="H268" s="13">
        <f>MAX(0,0.09*(B268-C268)/12)</f>
        <v/>
      </c>
      <c r="I268" s="13">
        <f>K267*G268/12</f>
        <v/>
      </c>
      <c r="J268" s="13">
        <f>MIN(H268,K267+I268)</f>
        <v/>
      </c>
      <c r="K268" s="13">
        <f>MAX(0,K267+I268-J268)</f>
        <v/>
      </c>
      <c r="L268" s="13">
        <f>Inputs!$B$7+IF(AND(YEAR(A268)=YEAR(Inputs!$B$9),MONTH(A268)=MONTH(Inputs!$B$9)),Inputs!$B$8,0)</f>
        <v/>
      </c>
      <c r="M268" s="13">
        <f>O267*G268/12</f>
        <v/>
      </c>
      <c r="N268" s="13">
        <f>MIN(H268+L268,O267+M268)</f>
        <v/>
      </c>
      <c r="O268" s="13">
        <f>MAX(0,O267+M268-N268)</f>
        <v/>
      </c>
    </row>
    <row r="269">
      <c r="A269" s="11" t="n">
        <v>54240</v>
      </c>
      <c r="B269" s="15">
        <f>IF(MONTH(A269)=4,B268*(1+Inputs!$B$6),B268)</f>
        <v/>
      </c>
      <c r="C269" s="15">
        <f>IF(AND(MONTH(A269)=4,YEAR(A269)&gt;=Inputs!$B$20),C268*(1+Inputs!$B$21),C268)</f>
        <v/>
      </c>
      <c r="D269" s="15">
        <f>IF(AND(MONTH(A269)=4,YEAR(A269)&gt;=Inputs!$B$20),D268*(1+Inputs!$B$21),D268)</f>
        <v/>
      </c>
      <c r="E269" s="12">
        <f>VLOOKUP(A269,Inputs!$A$53:$C$55,2,TRUE)</f>
        <v/>
      </c>
      <c r="F269" s="12">
        <f>VLOOKUP(A269,Inputs!$A$53:$C$55,3,TRUE)</f>
        <v/>
      </c>
      <c r="G269" s="12">
        <f>MIN(F269,E269+0.03*MAX(0,MIN(1,(B269-C269)/(D269-C269))))</f>
        <v/>
      </c>
      <c r="H269" s="13">
        <f>MAX(0,0.09*(B269-C269)/12)</f>
        <v/>
      </c>
      <c r="I269" s="13">
        <f>K268*G269/12</f>
        <v/>
      </c>
      <c r="J269" s="13">
        <f>MIN(H269,K268+I269)</f>
        <v/>
      </c>
      <c r="K269" s="13">
        <f>MAX(0,K268+I269-J269)</f>
        <v/>
      </c>
      <c r="L269" s="13">
        <f>Inputs!$B$7+IF(AND(YEAR(A269)=YEAR(Inputs!$B$9),MONTH(A269)=MONTH(Inputs!$B$9)),Inputs!$B$8,0)</f>
        <v/>
      </c>
      <c r="M269" s="13">
        <f>O268*G269/12</f>
        <v/>
      </c>
      <c r="N269" s="13">
        <f>MIN(H269+L269,O268+M269)</f>
        <v/>
      </c>
      <c r="O269" s="13">
        <f>MAX(0,O268+M269-N269)</f>
        <v/>
      </c>
    </row>
    <row r="270">
      <c r="A270" s="11" t="n">
        <v>54271</v>
      </c>
      <c r="B270" s="15">
        <f>IF(MONTH(A270)=4,B269*(1+Inputs!$B$6),B269)</f>
        <v/>
      </c>
      <c r="C270" s="15">
        <f>IF(AND(MONTH(A270)=4,YEAR(A270)&gt;=Inputs!$B$20),C269*(1+Inputs!$B$21),C269)</f>
        <v/>
      </c>
      <c r="D270" s="15">
        <f>IF(AND(MONTH(A270)=4,YEAR(A270)&gt;=Inputs!$B$20),D269*(1+Inputs!$B$21),D269)</f>
        <v/>
      </c>
      <c r="E270" s="12">
        <f>VLOOKUP(A270,Inputs!$A$53:$C$55,2,TRUE)</f>
        <v/>
      </c>
      <c r="F270" s="12">
        <f>VLOOKUP(A270,Inputs!$A$53:$C$55,3,TRUE)</f>
        <v/>
      </c>
      <c r="G270" s="12">
        <f>MIN(F270,E270+0.03*MAX(0,MIN(1,(B270-C270)/(D270-C270))))</f>
        <v/>
      </c>
      <c r="H270" s="13">
        <f>MAX(0,0.09*(B270-C270)/12)</f>
        <v/>
      </c>
      <c r="I270" s="13">
        <f>K269*G270/12</f>
        <v/>
      </c>
      <c r="J270" s="13">
        <f>MIN(H270,K269+I270)</f>
        <v/>
      </c>
      <c r="K270" s="13">
        <f>MAX(0,K269+I270-J270)</f>
        <v/>
      </c>
      <c r="L270" s="13">
        <f>Inputs!$B$7+IF(AND(YEAR(A270)=YEAR(Inputs!$B$9),MONTH(A270)=MONTH(Inputs!$B$9)),Inputs!$B$8,0)</f>
        <v/>
      </c>
      <c r="M270" s="13">
        <f>O269*G270/12</f>
        <v/>
      </c>
      <c r="N270" s="13">
        <f>MIN(H270+L270,O269+M270)</f>
        <v/>
      </c>
      <c r="O270" s="13">
        <f>MAX(0,O269+M270-N270)</f>
        <v/>
      </c>
    </row>
    <row r="271">
      <c r="A271" s="11" t="n">
        <v>54302</v>
      </c>
      <c r="B271" s="15">
        <f>IF(MONTH(A271)=4,B270*(1+Inputs!$B$6),B270)</f>
        <v/>
      </c>
      <c r="C271" s="15">
        <f>IF(AND(MONTH(A271)=4,YEAR(A271)&gt;=Inputs!$B$20),C270*(1+Inputs!$B$21),C270)</f>
        <v/>
      </c>
      <c r="D271" s="15">
        <f>IF(AND(MONTH(A271)=4,YEAR(A271)&gt;=Inputs!$B$20),D270*(1+Inputs!$B$21),D270)</f>
        <v/>
      </c>
      <c r="E271" s="12">
        <f>VLOOKUP(A271,Inputs!$A$53:$C$55,2,TRUE)</f>
        <v/>
      </c>
      <c r="F271" s="12">
        <f>VLOOKUP(A271,Inputs!$A$53:$C$55,3,TRUE)</f>
        <v/>
      </c>
      <c r="G271" s="12">
        <f>MIN(F271,E271+0.03*MAX(0,MIN(1,(B271-C271)/(D271-C271))))</f>
        <v/>
      </c>
      <c r="H271" s="13">
        <f>MAX(0,0.09*(B271-C271)/12)</f>
        <v/>
      </c>
      <c r="I271" s="13">
        <f>K270*G271/12</f>
        <v/>
      </c>
      <c r="J271" s="13">
        <f>MIN(H271,K270+I271)</f>
        <v/>
      </c>
      <c r="K271" s="13">
        <f>MAX(0,K270+I271-J271)</f>
        <v/>
      </c>
      <c r="L271" s="13">
        <f>Inputs!$B$7+IF(AND(YEAR(A271)=YEAR(Inputs!$B$9),MONTH(A271)=MONTH(Inputs!$B$9)),Inputs!$B$8,0)</f>
        <v/>
      </c>
      <c r="M271" s="13">
        <f>O270*G271/12</f>
        <v/>
      </c>
      <c r="N271" s="13">
        <f>MIN(H271+L271,O270+M271)</f>
        <v/>
      </c>
      <c r="O271" s="13">
        <f>MAX(0,O270+M271-N271)</f>
        <v/>
      </c>
    </row>
    <row r="272">
      <c r="A272" s="11" t="n">
        <v>54332</v>
      </c>
      <c r="B272" s="15">
        <f>IF(MONTH(A272)=4,B271*(1+Inputs!$B$6),B271)</f>
        <v/>
      </c>
      <c r="C272" s="15">
        <f>IF(AND(MONTH(A272)=4,YEAR(A272)&gt;=Inputs!$B$20),C271*(1+Inputs!$B$21),C271)</f>
        <v/>
      </c>
      <c r="D272" s="15">
        <f>IF(AND(MONTH(A272)=4,YEAR(A272)&gt;=Inputs!$B$20),D271*(1+Inputs!$B$21),D271)</f>
        <v/>
      </c>
      <c r="E272" s="12">
        <f>VLOOKUP(A272,Inputs!$A$53:$C$55,2,TRUE)</f>
        <v/>
      </c>
      <c r="F272" s="12">
        <f>VLOOKUP(A272,Inputs!$A$53:$C$55,3,TRUE)</f>
        <v/>
      </c>
      <c r="G272" s="12">
        <f>MIN(F272,E272+0.03*MAX(0,MIN(1,(B272-C272)/(D272-C272))))</f>
        <v/>
      </c>
      <c r="H272" s="13">
        <f>MAX(0,0.09*(B272-C272)/12)</f>
        <v/>
      </c>
      <c r="I272" s="13">
        <f>K271*G272/12</f>
        <v/>
      </c>
      <c r="J272" s="13">
        <f>MIN(H272,K271+I272)</f>
        <v/>
      </c>
      <c r="K272" s="13">
        <f>MAX(0,K271+I272-J272)</f>
        <v/>
      </c>
      <c r="L272" s="13">
        <f>Inputs!$B$7+IF(AND(YEAR(A272)=YEAR(Inputs!$B$9),MONTH(A272)=MONTH(Inputs!$B$9)),Inputs!$B$8,0)</f>
        <v/>
      </c>
      <c r="M272" s="13">
        <f>O271*G272/12</f>
        <v/>
      </c>
      <c r="N272" s="13">
        <f>MIN(H272+L272,O271+M272)</f>
        <v/>
      </c>
      <c r="O272" s="13">
        <f>MAX(0,O271+M272-N272)</f>
        <v/>
      </c>
    </row>
    <row r="273">
      <c r="A273" s="11" t="n">
        <v>54363</v>
      </c>
      <c r="B273" s="15">
        <f>IF(MONTH(A273)=4,B272*(1+Inputs!$B$6),B272)</f>
        <v/>
      </c>
      <c r="C273" s="15">
        <f>IF(AND(MONTH(A273)=4,YEAR(A273)&gt;=Inputs!$B$20),C272*(1+Inputs!$B$21),C272)</f>
        <v/>
      </c>
      <c r="D273" s="15">
        <f>IF(AND(MONTH(A273)=4,YEAR(A273)&gt;=Inputs!$B$20),D272*(1+Inputs!$B$21),D272)</f>
        <v/>
      </c>
      <c r="E273" s="12">
        <f>VLOOKUP(A273,Inputs!$A$53:$C$55,2,TRUE)</f>
        <v/>
      </c>
      <c r="F273" s="12">
        <f>VLOOKUP(A273,Inputs!$A$53:$C$55,3,TRUE)</f>
        <v/>
      </c>
      <c r="G273" s="12">
        <f>MIN(F273,E273+0.03*MAX(0,MIN(1,(B273-C273)/(D273-C273))))</f>
        <v/>
      </c>
      <c r="H273" s="13">
        <f>MAX(0,0.09*(B273-C273)/12)</f>
        <v/>
      </c>
      <c r="I273" s="13">
        <f>K272*G273/12</f>
        <v/>
      </c>
      <c r="J273" s="13">
        <f>MIN(H273,K272+I273)</f>
        <v/>
      </c>
      <c r="K273" s="13">
        <f>MAX(0,K272+I273-J273)</f>
        <v/>
      </c>
      <c r="L273" s="13">
        <f>Inputs!$B$7+IF(AND(YEAR(A273)=YEAR(Inputs!$B$9),MONTH(A273)=MONTH(Inputs!$B$9)),Inputs!$B$8,0)</f>
        <v/>
      </c>
      <c r="M273" s="13">
        <f>O272*G273/12</f>
        <v/>
      </c>
      <c r="N273" s="13">
        <f>MIN(H273+L273,O272+M273)</f>
        <v/>
      </c>
      <c r="O273" s="13">
        <f>MAX(0,O272+M273-N273)</f>
        <v/>
      </c>
    </row>
    <row r="274">
      <c r="A274" s="11" t="n">
        <v>54393</v>
      </c>
      <c r="B274" s="15">
        <f>IF(MONTH(A274)=4,B273*(1+Inputs!$B$6),B273)</f>
        <v/>
      </c>
      <c r="C274" s="15">
        <f>IF(AND(MONTH(A274)=4,YEAR(A274)&gt;=Inputs!$B$20),C273*(1+Inputs!$B$21),C273)</f>
        <v/>
      </c>
      <c r="D274" s="15">
        <f>IF(AND(MONTH(A274)=4,YEAR(A274)&gt;=Inputs!$B$20),D273*(1+Inputs!$B$21),D273)</f>
        <v/>
      </c>
      <c r="E274" s="12">
        <f>VLOOKUP(A274,Inputs!$A$53:$C$55,2,TRUE)</f>
        <v/>
      </c>
      <c r="F274" s="12">
        <f>VLOOKUP(A274,Inputs!$A$53:$C$55,3,TRUE)</f>
        <v/>
      </c>
      <c r="G274" s="12">
        <f>MIN(F274,E274+0.03*MAX(0,MIN(1,(B274-C274)/(D274-C274))))</f>
        <v/>
      </c>
      <c r="H274" s="13">
        <f>MAX(0,0.09*(B274-C274)/12)</f>
        <v/>
      </c>
      <c r="I274" s="13">
        <f>K273*G274/12</f>
        <v/>
      </c>
      <c r="J274" s="13">
        <f>MIN(H274,K273+I274)</f>
        <v/>
      </c>
      <c r="K274" s="13">
        <f>MAX(0,K273+I274-J274)</f>
        <v/>
      </c>
      <c r="L274" s="13">
        <f>Inputs!$B$7+IF(AND(YEAR(A274)=YEAR(Inputs!$B$9),MONTH(A274)=MONTH(Inputs!$B$9)),Inputs!$B$8,0)</f>
        <v/>
      </c>
      <c r="M274" s="13">
        <f>O273*G274/12</f>
        <v/>
      </c>
      <c r="N274" s="13">
        <f>MIN(H274+L274,O273+M274)</f>
        <v/>
      </c>
      <c r="O274" s="13">
        <f>MAX(0,O273+M274-N274)</f>
        <v/>
      </c>
    </row>
    <row r="275">
      <c r="A275" s="11" t="n">
        <v>54424</v>
      </c>
      <c r="B275" s="15">
        <f>IF(MONTH(A275)=4,B274*(1+Inputs!$B$6),B274)</f>
        <v/>
      </c>
      <c r="C275" s="15">
        <f>IF(AND(MONTH(A275)=4,YEAR(A275)&gt;=Inputs!$B$20),C274*(1+Inputs!$B$21),C274)</f>
        <v/>
      </c>
      <c r="D275" s="15">
        <f>IF(AND(MONTH(A275)=4,YEAR(A275)&gt;=Inputs!$B$20),D274*(1+Inputs!$B$21),D274)</f>
        <v/>
      </c>
      <c r="E275" s="12">
        <f>VLOOKUP(A275,Inputs!$A$53:$C$55,2,TRUE)</f>
        <v/>
      </c>
      <c r="F275" s="12">
        <f>VLOOKUP(A275,Inputs!$A$53:$C$55,3,TRUE)</f>
        <v/>
      </c>
      <c r="G275" s="12">
        <f>MIN(F275,E275+0.03*MAX(0,MIN(1,(B275-C275)/(D275-C275))))</f>
        <v/>
      </c>
      <c r="H275" s="13">
        <f>MAX(0,0.09*(B275-C275)/12)</f>
        <v/>
      </c>
      <c r="I275" s="13">
        <f>K274*G275/12</f>
        <v/>
      </c>
      <c r="J275" s="13">
        <f>MIN(H275,K274+I275)</f>
        <v/>
      </c>
      <c r="K275" s="13">
        <f>MAX(0,K274+I275-J275)</f>
        <v/>
      </c>
      <c r="L275" s="13">
        <f>Inputs!$B$7+IF(AND(YEAR(A275)=YEAR(Inputs!$B$9),MONTH(A275)=MONTH(Inputs!$B$9)),Inputs!$B$8,0)</f>
        <v/>
      </c>
      <c r="M275" s="13">
        <f>O274*G275/12</f>
        <v/>
      </c>
      <c r="N275" s="13">
        <f>MIN(H275+L275,O274+M275)</f>
        <v/>
      </c>
      <c r="O275" s="13">
        <f>MAX(0,O274+M275-N275)</f>
        <v/>
      </c>
    </row>
    <row r="276">
      <c r="A276" s="11" t="n">
        <v>54455</v>
      </c>
      <c r="B276" s="15">
        <f>IF(MONTH(A276)=4,B275*(1+Inputs!$B$6),B275)</f>
        <v/>
      </c>
      <c r="C276" s="15">
        <f>IF(AND(MONTH(A276)=4,YEAR(A276)&gt;=Inputs!$B$20),C275*(1+Inputs!$B$21),C275)</f>
        <v/>
      </c>
      <c r="D276" s="15">
        <f>IF(AND(MONTH(A276)=4,YEAR(A276)&gt;=Inputs!$B$20),D275*(1+Inputs!$B$21),D275)</f>
        <v/>
      </c>
      <c r="E276" s="12">
        <f>VLOOKUP(A276,Inputs!$A$53:$C$55,2,TRUE)</f>
        <v/>
      </c>
      <c r="F276" s="12">
        <f>VLOOKUP(A276,Inputs!$A$53:$C$55,3,TRUE)</f>
        <v/>
      </c>
      <c r="G276" s="12">
        <f>MIN(F276,E276+0.03*MAX(0,MIN(1,(B276-C276)/(D276-C276))))</f>
        <v/>
      </c>
      <c r="H276" s="13">
        <f>MAX(0,0.09*(B276-C276)/12)</f>
        <v/>
      </c>
      <c r="I276" s="13">
        <f>K275*G276/12</f>
        <v/>
      </c>
      <c r="J276" s="13">
        <f>MIN(H276,K275+I276)</f>
        <v/>
      </c>
      <c r="K276" s="13">
        <f>MAX(0,K275+I276-J276)</f>
        <v/>
      </c>
      <c r="L276" s="13">
        <f>Inputs!$B$7+IF(AND(YEAR(A276)=YEAR(Inputs!$B$9),MONTH(A276)=MONTH(Inputs!$B$9)),Inputs!$B$8,0)</f>
        <v/>
      </c>
      <c r="M276" s="13">
        <f>O275*G276/12</f>
        <v/>
      </c>
      <c r="N276" s="13">
        <f>MIN(H276+L276,O275+M276)</f>
        <v/>
      </c>
      <c r="O276" s="13">
        <f>MAX(0,O275+M276-N276)</f>
        <v/>
      </c>
    </row>
    <row r="277">
      <c r="A277" s="11" t="n">
        <v>54483</v>
      </c>
      <c r="B277" s="15">
        <f>IF(MONTH(A277)=4,B276*(1+Inputs!$B$6),B276)</f>
        <v/>
      </c>
      <c r="C277" s="15">
        <f>IF(AND(MONTH(A277)=4,YEAR(A277)&gt;=Inputs!$B$20),C276*(1+Inputs!$B$21),C276)</f>
        <v/>
      </c>
      <c r="D277" s="15">
        <f>IF(AND(MONTH(A277)=4,YEAR(A277)&gt;=Inputs!$B$20),D276*(1+Inputs!$B$21),D276)</f>
        <v/>
      </c>
      <c r="E277" s="12">
        <f>VLOOKUP(A277,Inputs!$A$53:$C$55,2,TRUE)</f>
        <v/>
      </c>
      <c r="F277" s="12">
        <f>VLOOKUP(A277,Inputs!$A$53:$C$55,3,TRUE)</f>
        <v/>
      </c>
      <c r="G277" s="12">
        <f>MIN(F277,E277+0.03*MAX(0,MIN(1,(B277-C277)/(D277-C277))))</f>
        <v/>
      </c>
      <c r="H277" s="13">
        <f>MAX(0,0.09*(B277-C277)/12)</f>
        <v/>
      </c>
      <c r="I277" s="13">
        <f>K276*G277/12</f>
        <v/>
      </c>
      <c r="J277" s="13">
        <f>MIN(H277,K276+I277)</f>
        <v/>
      </c>
      <c r="K277" s="13">
        <f>MAX(0,K276+I277-J277)</f>
        <v/>
      </c>
      <c r="L277" s="13">
        <f>Inputs!$B$7+IF(AND(YEAR(A277)=YEAR(Inputs!$B$9),MONTH(A277)=MONTH(Inputs!$B$9)),Inputs!$B$8,0)</f>
        <v/>
      </c>
      <c r="M277" s="13">
        <f>O276*G277/12</f>
        <v/>
      </c>
      <c r="N277" s="13">
        <f>MIN(H277+L277,O276+M277)</f>
        <v/>
      </c>
      <c r="O277" s="13">
        <f>MAX(0,O276+M277-N277)</f>
        <v/>
      </c>
    </row>
    <row r="278">
      <c r="A278" s="11" t="n">
        <v>54514</v>
      </c>
      <c r="B278" s="15">
        <f>IF(MONTH(A278)=4,B277*(1+Inputs!$B$6),B277)</f>
        <v/>
      </c>
      <c r="C278" s="15">
        <f>IF(AND(MONTH(A278)=4,YEAR(A278)&gt;=Inputs!$B$20),C277*(1+Inputs!$B$21),C277)</f>
        <v/>
      </c>
      <c r="D278" s="15">
        <f>IF(AND(MONTH(A278)=4,YEAR(A278)&gt;=Inputs!$B$20),D277*(1+Inputs!$B$21),D277)</f>
        <v/>
      </c>
      <c r="E278" s="12">
        <f>VLOOKUP(A278,Inputs!$A$53:$C$55,2,TRUE)</f>
        <v/>
      </c>
      <c r="F278" s="12">
        <f>VLOOKUP(A278,Inputs!$A$53:$C$55,3,TRUE)</f>
        <v/>
      </c>
      <c r="G278" s="12">
        <f>MIN(F278,E278+0.03*MAX(0,MIN(1,(B278-C278)/(D278-C278))))</f>
        <v/>
      </c>
      <c r="H278" s="13">
        <f>MAX(0,0.09*(B278-C278)/12)</f>
        <v/>
      </c>
      <c r="I278" s="13">
        <f>K277*G278/12</f>
        <v/>
      </c>
      <c r="J278" s="13">
        <f>MIN(H278,K277+I278)</f>
        <v/>
      </c>
      <c r="K278" s="13">
        <f>MAX(0,K277+I278-J278)</f>
        <v/>
      </c>
      <c r="L278" s="13">
        <f>Inputs!$B$7+IF(AND(YEAR(A278)=YEAR(Inputs!$B$9),MONTH(A278)=MONTH(Inputs!$B$9)),Inputs!$B$8,0)</f>
        <v/>
      </c>
      <c r="M278" s="13">
        <f>O277*G278/12</f>
        <v/>
      </c>
      <c r="N278" s="13">
        <f>MIN(H278+L278,O277+M278)</f>
        <v/>
      </c>
      <c r="O278" s="13">
        <f>MAX(0,O277+M278-N278)</f>
        <v/>
      </c>
    </row>
    <row r="279">
      <c r="A279" s="11" t="n">
        <v>54544</v>
      </c>
      <c r="B279" s="15">
        <f>IF(MONTH(A279)=4,B278*(1+Inputs!$B$6),B278)</f>
        <v/>
      </c>
      <c r="C279" s="15">
        <f>IF(AND(MONTH(A279)=4,YEAR(A279)&gt;=Inputs!$B$20),C278*(1+Inputs!$B$21),C278)</f>
        <v/>
      </c>
      <c r="D279" s="15">
        <f>IF(AND(MONTH(A279)=4,YEAR(A279)&gt;=Inputs!$B$20),D278*(1+Inputs!$B$21),D278)</f>
        <v/>
      </c>
      <c r="E279" s="12">
        <f>VLOOKUP(A279,Inputs!$A$53:$C$55,2,TRUE)</f>
        <v/>
      </c>
      <c r="F279" s="12">
        <f>VLOOKUP(A279,Inputs!$A$53:$C$55,3,TRUE)</f>
        <v/>
      </c>
      <c r="G279" s="12">
        <f>MIN(F279,E279+0.03*MAX(0,MIN(1,(B279-C279)/(D279-C279))))</f>
        <v/>
      </c>
      <c r="H279" s="13">
        <f>MAX(0,0.09*(B279-C279)/12)</f>
        <v/>
      </c>
      <c r="I279" s="13">
        <f>K278*G279/12</f>
        <v/>
      </c>
      <c r="J279" s="13">
        <f>MIN(H279,K278+I279)</f>
        <v/>
      </c>
      <c r="K279" s="13">
        <f>MAX(0,K278+I279-J279)</f>
        <v/>
      </c>
      <c r="L279" s="13">
        <f>Inputs!$B$7+IF(AND(YEAR(A279)=YEAR(Inputs!$B$9),MONTH(A279)=MONTH(Inputs!$B$9)),Inputs!$B$8,0)</f>
        <v/>
      </c>
      <c r="M279" s="13">
        <f>O278*G279/12</f>
        <v/>
      </c>
      <c r="N279" s="13">
        <f>MIN(H279+L279,O278+M279)</f>
        <v/>
      </c>
      <c r="O279" s="13">
        <f>MAX(0,O278+M279-N279)</f>
        <v/>
      </c>
    </row>
    <row r="280">
      <c r="A280" s="11" t="n">
        <v>54575</v>
      </c>
      <c r="B280" s="15">
        <f>IF(MONTH(A280)=4,B279*(1+Inputs!$B$6),B279)</f>
        <v/>
      </c>
      <c r="C280" s="15">
        <f>IF(AND(MONTH(A280)=4,YEAR(A280)&gt;=Inputs!$B$20),C279*(1+Inputs!$B$21),C279)</f>
        <v/>
      </c>
      <c r="D280" s="15">
        <f>IF(AND(MONTH(A280)=4,YEAR(A280)&gt;=Inputs!$B$20),D279*(1+Inputs!$B$21),D279)</f>
        <v/>
      </c>
      <c r="E280" s="12">
        <f>VLOOKUP(A280,Inputs!$A$53:$C$55,2,TRUE)</f>
        <v/>
      </c>
      <c r="F280" s="12">
        <f>VLOOKUP(A280,Inputs!$A$53:$C$55,3,TRUE)</f>
        <v/>
      </c>
      <c r="G280" s="12">
        <f>MIN(F280,E280+0.03*MAX(0,MIN(1,(B280-C280)/(D280-C280))))</f>
        <v/>
      </c>
      <c r="H280" s="13">
        <f>MAX(0,0.09*(B280-C280)/12)</f>
        <v/>
      </c>
      <c r="I280" s="13">
        <f>K279*G280/12</f>
        <v/>
      </c>
      <c r="J280" s="13">
        <f>MIN(H280,K279+I280)</f>
        <v/>
      </c>
      <c r="K280" s="13">
        <f>MAX(0,K279+I280-J280)</f>
        <v/>
      </c>
      <c r="L280" s="13">
        <f>Inputs!$B$7+IF(AND(YEAR(A280)=YEAR(Inputs!$B$9),MONTH(A280)=MONTH(Inputs!$B$9)),Inputs!$B$8,0)</f>
        <v/>
      </c>
      <c r="M280" s="13">
        <f>O279*G280/12</f>
        <v/>
      </c>
      <c r="N280" s="13">
        <f>MIN(H280+L280,O279+M280)</f>
        <v/>
      </c>
      <c r="O280" s="13">
        <f>MAX(0,O279+M280-N280)</f>
        <v/>
      </c>
    </row>
    <row r="281">
      <c r="A281" s="11" t="n">
        <v>54605</v>
      </c>
      <c r="B281" s="15">
        <f>IF(MONTH(A281)=4,B280*(1+Inputs!$B$6),B280)</f>
        <v/>
      </c>
      <c r="C281" s="15">
        <f>IF(AND(MONTH(A281)=4,YEAR(A281)&gt;=Inputs!$B$20),C280*(1+Inputs!$B$21),C280)</f>
        <v/>
      </c>
      <c r="D281" s="15">
        <f>IF(AND(MONTH(A281)=4,YEAR(A281)&gt;=Inputs!$B$20),D280*(1+Inputs!$B$21),D280)</f>
        <v/>
      </c>
      <c r="E281" s="12">
        <f>VLOOKUP(A281,Inputs!$A$53:$C$55,2,TRUE)</f>
        <v/>
      </c>
      <c r="F281" s="12">
        <f>VLOOKUP(A281,Inputs!$A$53:$C$55,3,TRUE)</f>
        <v/>
      </c>
      <c r="G281" s="12">
        <f>MIN(F281,E281+0.03*MAX(0,MIN(1,(B281-C281)/(D281-C281))))</f>
        <v/>
      </c>
      <c r="H281" s="13">
        <f>MAX(0,0.09*(B281-C281)/12)</f>
        <v/>
      </c>
      <c r="I281" s="13">
        <f>K280*G281/12</f>
        <v/>
      </c>
      <c r="J281" s="13">
        <f>MIN(H281,K280+I281)</f>
        <v/>
      </c>
      <c r="K281" s="13">
        <f>MAX(0,K280+I281-J281)</f>
        <v/>
      </c>
      <c r="L281" s="13">
        <f>Inputs!$B$7+IF(AND(YEAR(A281)=YEAR(Inputs!$B$9),MONTH(A281)=MONTH(Inputs!$B$9)),Inputs!$B$8,0)</f>
        <v/>
      </c>
      <c r="M281" s="13">
        <f>O280*G281/12</f>
        <v/>
      </c>
      <c r="N281" s="13">
        <f>MIN(H281+L281,O280+M281)</f>
        <v/>
      </c>
      <c r="O281" s="13">
        <f>MAX(0,O280+M281-N281)</f>
        <v/>
      </c>
    </row>
    <row r="282">
      <c r="A282" s="11" t="n">
        <v>54636</v>
      </c>
      <c r="B282" s="15">
        <f>IF(MONTH(A282)=4,B281*(1+Inputs!$B$6),B281)</f>
        <v/>
      </c>
      <c r="C282" s="15">
        <f>IF(AND(MONTH(A282)=4,YEAR(A282)&gt;=Inputs!$B$20),C281*(1+Inputs!$B$21),C281)</f>
        <v/>
      </c>
      <c r="D282" s="15">
        <f>IF(AND(MONTH(A282)=4,YEAR(A282)&gt;=Inputs!$B$20),D281*(1+Inputs!$B$21),D281)</f>
        <v/>
      </c>
      <c r="E282" s="12">
        <f>VLOOKUP(A282,Inputs!$A$53:$C$55,2,TRUE)</f>
        <v/>
      </c>
      <c r="F282" s="12">
        <f>VLOOKUP(A282,Inputs!$A$53:$C$55,3,TRUE)</f>
        <v/>
      </c>
      <c r="G282" s="12">
        <f>MIN(F282,E282+0.03*MAX(0,MIN(1,(B282-C282)/(D282-C282))))</f>
        <v/>
      </c>
      <c r="H282" s="13">
        <f>MAX(0,0.09*(B282-C282)/12)</f>
        <v/>
      </c>
      <c r="I282" s="13">
        <f>K281*G282/12</f>
        <v/>
      </c>
      <c r="J282" s="13">
        <f>MIN(H282,K281+I282)</f>
        <v/>
      </c>
      <c r="K282" s="13">
        <f>MAX(0,K281+I282-J282)</f>
        <v/>
      </c>
      <c r="L282" s="13">
        <f>Inputs!$B$7+IF(AND(YEAR(A282)=YEAR(Inputs!$B$9),MONTH(A282)=MONTH(Inputs!$B$9)),Inputs!$B$8,0)</f>
        <v/>
      </c>
      <c r="M282" s="13">
        <f>O281*G282/12</f>
        <v/>
      </c>
      <c r="N282" s="13">
        <f>MIN(H282+L282,O281+M282)</f>
        <v/>
      </c>
      <c r="O282" s="13">
        <f>MAX(0,O281+M282-N282)</f>
        <v/>
      </c>
    </row>
    <row r="283">
      <c r="A283" s="11" t="n">
        <v>54667</v>
      </c>
      <c r="B283" s="15">
        <f>IF(MONTH(A283)=4,B282*(1+Inputs!$B$6),B282)</f>
        <v/>
      </c>
      <c r="C283" s="15">
        <f>IF(AND(MONTH(A283)=4,YEAR(A283)&gt;=Inputs!$B$20),C282*(1+Inputs!$B$21),C282)</f>
        <v/>
      </c>
      <c r="D283" s="15">
        <f>IF(AND(MONTH(A283)=4,YEAR(A283)&gt;=Inputs!$B$20),D282*(1+Inputs!$B$21),D282)</f>
        <v/>
      </c>
      <c r="E283" s="12">
        <f>VLOOKUP(A283,Inputs!$A$53:$C$55,2,TRUE)</f>
        <v/>
      </c>
      <c r="F283" s="12">
        <f>VLOOKUP(A283,Inputs!$A$53:$C$55,3,TRUE)</f>
        <v/>
      </c>
      <c r="G283" s="12">
        <f>MIN(F283,E283+0.03*MAX(0,MIN(1,(B283-C283)/(D283-C283))))</f>
        <v/>
      </c>
      <c r="H283" s="13">
        <f>MAX(0,0.09*(B283-C283)/12)</f>
        <v/>
      </c>
      <c r="I283" s="13">
        <f>K282*G283/12</f>
        <v/>
      </c>
      <c r="J283" s="13">
        <f>MIN(H283,K282+I283)</f>
        <v/>
      </c>
      <c r="K283" s="13">
        <f>MAX(0,K282+I283-J283)</f>
        <v/>
      </c>
      <c r="L283" s="13">
        <f>Inputs!$B$7+IF(AND(YEAR(A283)=YEAR(Inputs!$B$9),MONTH(A283)=MONTH(Inputs!$B$9)),Inputs!$B$8,0)</f>
        <v/>
      </c>
      <c r="M283" s="13">
        <f>O282*G283/12</f>
        <v/>
      </c>
      <c r="N283" s="13">
        <f>MIN(H283+L283,O282+M283)</f>
        <v/>
      </c>
      <c r="O283" s="13">
        <f>MAX(0,O282+M283-N283)</f>
        <v/>
      </c>
    </row>
    <row r="284">
      <c r="A284" s="11" t="n">
        <v>54697</v>
      </c>
      <c r="B284" s="15">
        <f>IF(MONTH(A284)=4,B283*(1+Inputs!$B$6),B283)</f>
        <v/>
      </c>
      <c r="C284" s="15">
        <f>IF(AND(MONTH(A284)=4,YEAR(A284)&gt;=Inputs!$B$20),C283*(1+Inputs!$B$21),C283)</f>
        <v/>
      </c>
      <c r="D284" s="15">
        <f>IF(AND(MONTH(A284)=4,YEAR(A284)&gt;=Inputs!$B$20),D283*(1+Inputs!$B$21),D283)</f>
        <v/>
      </c>
      <c r="E284" s="12">
        <f>VLOOKUP(A284,Inputs!$A$53:$C$55,2,TRUE)</f>
        <v/>
      </c>
      <c r="F284" s="12">
        <f>VLOOKUP(A284,Inputs!$A$53:$C$55,3,TRUE)</f>
        <v/>
      </c>
      <c r="G284" s="12">
        <f>MIN(F284,E284+0.03*MAX(0,MIN(1,(B284-C284)/(D284-C284))))</f>
        <v/>
      </c>
      <c r="H284" s="13">
        <f>MAX(0,0.09*(B284-C284)/12)</f>
        <v/>
      </c>
      <c r="I284" s="13">
        <f>K283*G284/12</f>
        <v/>
      </c>
      <c r="J284" s="13">
        <f>MIN(H284,K283+I284)</f>
        <v/>
      </c>
      <c r="K284" s="13">
        <f>MAX(0,K283+I284-J284)</f>
        <v/>
      </c>
      <c r="L284" s="13">
        <f>Inputs!$B$7+IF(AND(YEAR(A284)=YEAR(Inputs!$B$9),MONTH(A284)=MONTH(Inputs!$B$9)),Inputs!$B$8,0)</f>
        <v/>
      </c>
      <c r="M284" s="13">
        <f>O283*G284/12</f>
        <v/>
      </c>
      <c r="N284" s="13">
        <f>MIN(H284+L284,O283+M284)</f>
        <v/>
      </c>
      <c r="O284" s="13">
        <f>MAX(0,O283+M284-N284)</f>
        <v/>
      </c>
    </row>
    <row r="285">
      <c r="A285" s="11" t="n">
        <v>54728</v>
      </c>
      <c r="B285" s="15">
        <f>IF(MONTH(A285)=4,B284*(1+Inputs!$B$6),B284)</f>
        <v/>
      </c>
      <c r="C285" s="15">
        <f>IF(AND(MONTH(A285)=4,YEAR(A285)&gt;=Inputs!$B$20),C284*(1+Inputs!$B$21),C284)</f>
        <v/>
      </c>
      <c r="D285" s="15">
        <f>IF(AND(MONTH(A285)=4,YEAR(A285)&gt;=Inputs!$B$20),D284*(1+Inputs!$B$21),D284)</f>
        <v/>
      </c>
      <c r="E285" s="12">
        <f>VLOOKUP(A285,Inputs!$A$53:$C$55,2,TRUE)</f>
        <v/>
      </c>
      <c r="F285" s="12">
        <f>VLOOKUP(A285,Inputs!$A$53:$C$55,3,TRUE)</f>
        <v/>
      </c>
      <c r="G285" s="12">
        <f>MIN(F285,E285+0.03*MAX(0,MIN(1,(B285-C285)/(D285-C285))))</f>
        <v/>
      </c>
      <c r="H285" s="13">
        <f>MAX(0,0.09*(B285-C285)/12)</f>
        <v/>
      </c>
      <c r="I285" s="13">
        <f>K284*G285/12</f>
        <v/>
      </c>
      <c r="J285" s="13">
        <f>MIN(H285,K284+I285)</f>
        <v/>
      </c>
      <c r="K285" s="13">
        <f>MAX(0,K284+I285-J285)</f>
        <v/>
      </c>
      <c r="L285" s="13">
        <f>Inputs!$B$7+IF(AND(YEAR(A285)=YEAR(Inputs!$B$9),MONTH(A285)=MONTH(Inputs!$B$9)),Inputs!$B$8,0)</f>
        <v/>
      </c>
      <c r="M285" s="13">
        <f>O284*G285/12</f>
        <v/>
      </c>
      <c r="N285" s="13">
        <f>MIN(H285+L285,O284+M285)</f>
        <v/>
      </c>
      <c r="O285" s="13">
        <f>MAX(0,O284+M285-N285)</f>
        <v/>
      </c>
    </row>
    <row r="286">
      <c r="A286" s="11" t="n">
        <v>54758</v>
      </c>
      <c r="B286" s="15">
        <f>IF(MONTH(A286)=4,B285*(1+Inputs!$B$6),B285)</f>
        <v/>
      </c>
      <c r="C286" s="15">
        <f>IF(AND(MONTH(A286)=4,YEAR(A286)&gt;=Inputs!$B$20),C285*(1+Inputs!$B$21),C285)</f>
        <v/>
      </c>
      <c r="D286" s="15">
        <f>IF(AND(MONTH(A286)=4,YEAR(A286)&gt;=Inputs!$B$20),D285*(1+Inputs!$B$21),D285)</f>
        <v/>
      </c>
      <c r="E286" s="12">
        <f>VLOOKUP(A286,Inputs!$A$53:$C$55,2,TRUE)</f>
        <v/>
      </c>
      <c r="F286" s="12">
        <f>VLOOKUP(A286,Inputs!$A$53:$C$55,3,TRUE)</f>
        <v/>
      </c>
      <c r="G286" s="12">
        <f>MIN(F286,E286+0.03*MAX(0,MIN(1,(B286-C286)/(D286-C286))))</f>
        <v/>
      </c>
      <c r="H286" s="13">
        <f>MAX(0,0.09*(B286-C286)/12)</f>
        <v/>
      </c>
      <c r="I286" s="13">
        <f>K285*G286/12</f>
        <v/>
      </c>
      <c r="J286" s="13">
        <f>MIN(H286,K285+I286)</f>
        <v/>
      </c>
      <c r="K286" s="13">
        <f>MAX(0,K285+I286-J286)</f>
        <v/>
      </c>
      <c r="L286" s="13">
        <f>Inputs!$B$7+IF(AND(YEAR(A286)=YEAR(Inputs!$B$9),MONTH(A286)=MONTH(Inputs!$B$9)),Inputs!$B$8,0)</f>
        <v/>
      </c>
      <c r="M286" s="13">
        <f>O285*G286/12</f>
        <v/>
      </c>
      <c r="N286" s="13">
        <f>MIN(H286+L286,O285+M286)</f>
        <v/>
      </c>
      <c r="O286" s="13">
        <f>MAX(0,O285+M286-N286)</f>
        <v/>
      </c>
    </row>
    <row r="287">
      <c r="A287" s="11" t="n">
        <v>54789</v>
      </c>
      <c r="B287" s="15">
        <f>IF(MONTH(A287)=4,B286*(1+Inputs!$B$6),B286)</f>
        <v/>
      </c>
      <c r="C287" s="15">
        <f>IF(AND(MONTH(A287)=4,YEAR(A287)&gt;=Inputs!$B$20),C286*(1+Inputs!$B$21),C286)</f>
        <v/>
      </c>
      <c r="D287" s="15">
        <f>IF(AND(MONTH(A287)=4,YEAR(A287)&gt;=Inputs!$B$20),D286*(1+Inputs!$B$21),D286)</f>
        <v/>
      </c>
      <c r="E287" s="12">
        <f>VLOOKUP(A287,Inputs!$A$53:$C$55,2,TRUE)</f>
        <v/>
      </c>
      <c r="F287" s="12">
        <f>VLOOKUP(A287,Inputs!$A$53:$C$55,3,TRUE)</f>
        <v/>
      </c>
      <c r="G287" s="12">
        <f>MIN(F287,E287+0.03*MAX(0,MIN(1,(B287-C287)/(D287-C287))))</f>
        <v/>
      </c>
      <c r="H287" s="13">
        <f>MAX(0,0.09*(B287-C287)/12)</f>
        <v/>
      </c>
      <c r="I287" s="13">
        <f>K286*G287/12</f>
        <v/>
      </c>
      <c r="J287" s="13">
        <f>MIN(H287,K286+I287)</f>
        <v/>
      </c>
      <c r="K287" s="13">
        <f>MAX(0,K286+I287-J287)</f>
        <v/>
      </c>
      <c r="L287" s="13">
        <f>Inputs!$B$7+IF(AND(YEAR(A287)=YEAR(Inputs!$B$9),MONTH(A287)=MONTH(Inputs!$B$9)),Inputs!$B$8,0)</f>
        <v/>
      </c>
      <c r="M287" s="13">
        <f>O286*G287/12</f>
        <v/>
      </c>
      <c r="N287" s="13">
        <f>MIN(H287+L287,O286+M287)</f>
        <v/>
      </c>
      <c r="O287" s="13">
        <f>MAX(0,O286+M287-N287)</f>
        <v/>
      </c>
    </row>
    <row r="288">
      <c r="A288" s="11" t="n">
        <v>54820</v>
      </c>
      <c r="B288" s="15">
        <f>IF(MONTH(A288)=4,B287*(1+Inputs!$B$6),B287)</f>
        <v/>
      </c>
      <c r="C288" s="15">
        <f>IF(AND(MONTH(A288)=4,YEAR(A288)&gt;=Inputs!$B$20),C287*(1+Inputs!$B$21),C287)</f>
        <v/>
      </c>
      <c r="D288" s="15">
        <f>IF(AND(MONTH(A288)=4,YEAR(A288)&gt;=Inputs!$B$20),D287*(1+Inputs!$B$21),D287)</f>
        <v/>
      </c>
      <c r="E288" s="12">
        <f>VLOOKUP(A288,Inputs!$A$53:$C$55,2,TRUE)</f>
        <v/>
      </c>
      <c r="F288" s="12">
        <f>VLOOKUP(A288,Inputs!$A$53:$C$55,3,TRUE)</f>
        <v/>
      </c>
      <c r="G288" s="12">
        <f>MIN(F288,E288+0.03*MAX(0,MIN(1,(B288-C288)/(D288-C288))))</f>
        <v/>
      </c>
      <c r="H288" s="13">
        <f>MAX(0,0.09*(B288-C288)/12)</f>
        <v/>
      </c>
      <c r="I288" s="13">
        <f>K287*G288/12</f>
        <v/>
      </c>
      <c r="J288" s="13">
        <f>MIN(H288,K287+I288)</f>
        <v/>
      </c>
      <c r="K288" s="13">
        <f>MAX(0,K287+I288-J288)</f>
        <v/>
      </c>
      <c r="L288" s="13">
        <f>Inputs!$B$7+IF(AND(YEAR(A288)=YEAR(Inputs!$B$9),MONTH(A288)=MONTH(Inputs!$B$9)),Inputs!$B$8,0)</f>
        <v/>
      </c>
      <c r="M288" s="13">
        <f>O287*G288/12</f>
        <v/>
      </c>
      <c r="N288" s="13">
        <f>MIN(H288+L288,O287+M288)</f>
        <v/>
      </c>
      <c r="O288" s="13">
        <f>MAX(0,O287+M288-N288)</f>
        <v/>
      </c>
    </row>
    <row r="289">
      <c r="A289" s="11" t="n">
        <v>54848</v>
      </c>
      <c r="B289" s="15">
        <f>IF(MONTH(A289)=4,B288*(1+Inputs!$B$6),B288)</f>
        <v/>
      </c>
      <c r="C289" s="15">
        <f>IF(AND(MONTH(A289)=4,YEAR(A289)&gt;=Inputs!$B$20),C288*(1+Inputs!$B$21),C288)</f>
        <v/>
      </c>
      <c r="D289" s="15">
        <f>IF(AND(MONTH(A289)=4,YEAR(A289)&gt;=Inputs!$B$20),D288*(1+Inputs!$B$21),D288)</f>
        <v/>
      </c>
      <c r="E289" s="12">
        <f>VLOOKUP(A289,Inputs!$A$53:$C$55,2,TRUE)</f>
        <v/>
      </c>
      <c r="F289" s="12">
        <f>VLOOKUP(A289,Inputs!$A$53:$C$55,3,TRUE)</f>
        <v/>
      </c>
      <c r="G289" s="12">
        <f>MIN(F289,E289+0.03*MAX(0,MIN(1,(B289-C289)/(D289-C289))))</f>
        <v/>
      </c>
      <c r="H289" s="13">
        <f>MAX(0,0.09*(B289-C289)/12)</f>
        <v/>
      </c>
      <c r="I289" s="13">
        <f>K288*G289/12</f>
        <v/>
      </c>
      <c r="J289" s="13">
        <f>MIN(H289,K288+I289)</f>
        <v/>
      </c>
      <c r="K289" s="13">
        <f>MAX(0,K288+I289-J289)</f>
        <v/>
      </c>
      <c r="L289" s="13">
        <f>Inputs!$B$7+IF(AND(YEAR(A289)=YEAR(Inputs!$B$9),MONTH(A289)=MONTH(Inputs!$B$9)),Inputs!$B$8,0)</f>
        <v/>
      </c>
      <c r="M289" s="13">
        <f>O288*G289/12</f>
        <v/>
      </c>
      <c r="N289" s="13">
        <f>MIN(H289+L289,O288+M289)</f>
        <v/>
      </c>
      <c r="O289" s="13">
        <f>MAX(0,O288+M289-N289)</f>
        <v/>
      </c>
    </row>
    <row r="290">
      <c r="A290" s="11" t="n">
        <v>54879</v>
      </c>
      <c r="B290" s="15">
        <f>IF(MONTH(A290)=4,B289*(1+Inputs!$B$6),B289)</f>
        <v/>
      </c>
      <c r="C290" s="15">
        <f>IF(AND(MONTH(A290)=4,YEAR(A290)&gt;=Inputs!$B$20),C289*(1+Inputs!$B$21),C289)</f>
        <v/>
      </c>
      <c r="D290" s="15">
        <f>IF(AND(MONTH(A290)=4,YEAR(A290)&gt;=Inputs!$B$20),D289*(1+Inputs!$B$21),D289)</f>
        <v/>
      </c>
      <c r="E290" s="12">
        <f>VLOOKUP(A290,Inputs!$A$53:$C$55,2,TRUE)</f>
        <v/>
      </c>
      <c r="F290" s="12">
        <f>VLOOKUP(A290,Inputs!$A$53:$C$55,3,TRUE)</f>
        <v/>
      </c>
      <c r="G290" s="12">
        <f>MIN(F290,E290+0.03*MAX(0,MIN(1,(B290-C290)/(D290-C290))))</f>
        <v/>
      </c>
      <c r="H290" s="13">
        <f>MAX(0,0.09*(B290-C290)/12)</f>
        <v/>
      </c>
      <c r="I290" s="13">
        <f>K289*G290/12</f>
        <v/>
      </c>
      <c r="J290" s="13">
        <f>MIN(H290,K289+I290)</f>
        <v/>
      </c>
      <c r="K290" s="13">
        <f>MAX(0,K289+I290-J290)</f>
        <v/>
      </c>
      <c r="L290" s="13">
        <f>Inputs!$B$7+IF(AND(YEAR(A290)=YEAR(Inputs!$B$9),MONTH(A290)=MONTH(Inputs!$B$9)),Inputs!$B$8,0)</f>
        <v/>
      </c>
      <c r="M290" s="13">
        <f>O289*G290/12</f>
        <v/>
      </c>
      <c r="N290" s="13">
        <f>MIN(H290+L290,O289+M290)</f>
        <v/>
      </c>
      <c r="O290" s="13">
        <f>MAX(0,O289+M290-N290)</f>
        <v/>
      </c>
    </row>
    <row r="291">
      <c r="A291" s="11" t="n">
        <v>54909</v>
      </c>
      <c r="B291" s="15">
        <f>IF(MONTH(A291)=4,B290*(1+Inputs!$B$6),B290)</f>
        <v/>
      </c>
      <c r="C291" s="15">
        <f>IF(AND(MONTH(A291)=4,YEAR(A291)&gt;=Inputs!$B$20),C290*(1+Inputs!$B$21),C290)</f>
        <v/>
      </c>
      <c r="D291" s="15">
        <f>IF(AND(MONTH(A291)=4,YEAR(A291)&gt;=Inputs!$B$20),D290*(1+Inputs!$B$21),D290)</f>
        <v/>
      </c>
      <c r="E291" s="12">
        <f>VLOOKUP(A291,Inputs!$A$53:$C$55,2,TRUE)</f>
        <v/>
      </c>
      <c r="F291" s="12">
        <f>VLOOKUP(A291,Inputs!$A$53:$C$55,3,TRUE)</f>
        <v/>
      </c>
      <c r="G291" s="12">
        <f>MIN(F291,E291+0.03*MAX(0,MIN(1,(B291-C291)/(D291-C291))))</f>
        <v/>
      </c>
      <c r="H291" s="13">
        <f>MAX(0,0.09*(B291-C291)/12)</f>
        <v/>
      </c>
      <c r="I291" s="13">
        <f>K290*G291/12</f>
        <v/>
      </c>
      <c r="J291" s="13">
        <f>MIN(H291,K290+I291)</f>
        <v/>
      </c>
      <c r="K291" s="13">
        <f>MAX(0,K290+I291-J291)</f>
        <v/>
      </c>
      <c r="L291" s="13">
        <f>Inputs!$B$7+IF(AND(YEAR(A291)=YEAR(Inputs!$B$9),MONTH(A291)=MONTH(Inputs!$B$9)),Inputs!$B$8,0)</f>
        <v/>
      </c>
      <c r="M291" s="13">
        <f>O290*G291/12</f>
        <v/>
      </c>
      <c r="N291" s="13">
        <f>MIN(H291+L291,O290+M291)</f>
        <v/>
      </c>
      <c r="O291" s="13">
        <f>MAX(0,O290+M291-N291)</f>
        <v/>
      </c>
    </row>
    <row r="292">
      <c r="A292" s="11" t="n">
        <v>54940</v>
      </c>
      <c r="B292" s="15">
        <f>IF(MONTH(A292)=4,B291*(1+Inputs!$B$6),B291)</f>
        <v/>
      </c>
      <c r="C292" s="15">
        <f>IF(AND(MONTH(A292)=4,YEAR(A292)&gt;=Inputs!$B$20),C291*(1+Inputs!$B$21),C291)</f>
        <v/>
      </c>
      <c r="D292" s="15">
        <f>IF(AND(MONTH(A292)=4,YEAR(A292)&gt;=Inputs!$B$20),D291*(1+Inputs!$B$21),D291)</f>
        <v/>
      </c>
      <c r="E292" s="12">
        <f>VLOOKUP(A292,Inputs!$A$53:$C$55,2,TRUE)</f>
        <v/>
      </c>
      <c r="F292" s="12">
        <f>VLOOKUP(A292,Inputs!$A$53:$C$55,3,TRUE)</f>
        <v/>
      </c>
      <c r="G292" s="12">
        <f>MIN(F292,E292+0.03*MAX(0,MIN(1,(B292-C292)/(D292-C292))))</f>
        <v/>
      </c>
      <c r="H292" s="13">
        <f>MAX(0,0.09*(B292-C292)/12)</f>
        <v/>
      </c>
      <c r="I292" s="13">
        <f>K291*G292/12</f>
        <v/>
      </c>
      <c r="J292" s="13">
        <f>MIN(H292,K291+I292)</f>
        <v/>
      </c>
      <c r="K292" s="13">
        <f>MAX(0,K291+I292-J292)</f>
        <v/>
      </c>
      <c r="L292" s="13">
        <f>Inputs!$B$7+IF(AND(YEAR(A292)=YEAR(Inputs!$B$9),MONTH(A292)=MONTH(Inputs!$B$9)),Inputs!$B$8,0)</f>
        <v/>
      </c>
      <c r="M292" s="13">
        <f>O291*G292/12</f>
        <v/>
      </c>
      <c r="N292" s="13">
        <f>MIN(H292+L292,O291+M292)</f>
        <v/>
      </c>
      <c r="O292" s="13">
        <f>MAX(0,O291+M292-N292)</f>
        <v/>
      </c>
    </row>
    <row r="293">
      <c r="A293" s="11" t="n">
        <v>54970</v>
      </c>
      <c r="B293" s="15">
        <f>IF(MONTH(A293)=4,B292*(1+Inputs!$B$6),B292)</f>
        <v/>
      </c>
      <c r="C293" s="15">
        <f>IF(AND(MONTH(A293)=4,YEAR(A293)&gt;=Inputs!$B$20),C292*(1+Inputs!$B$21),C292)</f>
        <v/>
      </c>
      <c r="D293" s="15">
        <f>IF(AND(MONTH(A293)=4,YEAR(A293)&gt;=Inputs!$B$20),D292*(1+Inputs!$B$21),D292)</f>
        <v/>
      </c>
      <c r="E293" s="12">
        <f>VLOOKUP(A293,Inputs!$A$53:$C$55,2,TRUE)</f>
        <v/>
      </c>
      <c r="F293" s="12">
        <f>VLOOKUP(A293,Inputs!$A$53:$C$55,3,TRUE)</f>
        <v/>
      </c>
      <c r="G293" s="12">
        <f>MIN(F293,E293+0.03*MAX(0,MIN(1,(B293-C293)/(D293-C293))))</f>
        <v/>
      </c>
      <c r="H293" s="13">
        <f>MAX(0,0.09*(B293-C293)/12)</f>
        <v/>
      </c>
      <c r="I293" s="13">
        <f>K292*G293/12</f>
        <v/>
      </c>
      <c r="J293" s="13">
        <f>MIN(H293,K292+I293)</f>
        <v/>
      </c>
      <c r="K293" s="13">
        <f>MAX(0,K292+I293-J293)</f>
        <v/>
      </c>
      <c r="L293" s="13">
        <f>Inputs!$B$7+IF(AND(YEAR(A293)=YEAR(Inputs!$B$9),MONTH(A293)=MONTH(Inputs!$B$9)),Inputs!$B$8,0)</f>
        <v/>
      </c>
      <c r="M293" s="13">
        <f>O292*G293/12</f>
        <v/>
      </c>
      <c r="N293" s="13">
        <f>MIN(H293+L293,O292+M293)</f>
        <v/>
      </c>
      <c r="O293" s="13">
        <f>MAX(0,O292+M293-N293)</f>
        <v/>
      </c>
    </row>
    <row r="294">
      <c r="A294" s="11" t="n">
        <v>55001</v>
      </c>
      <c r="B294" s="15">
        <f>IF(MONTH(A294)=4,B293*(1+Inputs!$B$6),B293)</f>
        <v/>
      </c>
      <c r="C294" s="15">
        <f>IF(AND(MONTH(A294)=4,YEAR(A294)&gt;=Inputs!$B$20),C293*(1+Inputs!$B$21),C293)</f>
        <v/>
      </c>
      <c r="D294" s="15">
        <f>IF(AND(MONTH(A294)=4,YEAR(A294)&gt;=Inputs!$B$20),D293*(1+Inputs!$B$21),D293)</f>
        <v/>
      </c>
      <c r="E294" s="12">
        <f>VLOOKUP(A294,Inputs!$A$53:$C$55,2,TRUE)</f>
        <v/>
      </c>
      <c r="F294" s="12">
        <f>VLOOKUP(A294,Inputs!$A$53:$C$55,3,TRUE)</f>
        <v/>
      </c>
      <c r="G294" s="12">
        <f>MIN(F294,E294+0.03*MAX(0,MIN(1,(B294-C294)/(D294-C294))))</f>
        <v/>
      </c>
      <c r="H294" s="13">
        <f>MAX(0,0.09*(B294-C294)/12)</f>
        <v/>
      </c>
      <c r="I294" s="13">
        <f>K293*G294/12</f>
        <v/>
      </c>
      <c r="J294" s="13">
        <f>MIN(H294,K293+I294)</f>
        <v/>
      </c>
      <c r="K294" s="13">
        <f>MAX(0,K293+I294-J294)</f>
        <v/>
      </c>
      <c r="L294" s="13">
        <f>Inputs!$B$7+IF(AND(YEAR(A294)=YEAR(Inputs!$B$9),MONTH(A294)=MONTH(Inputs!$B$9)),Inputs!$B$8,0)</f>
        <v/>
      </c>
      <c r="M294" s="13">
        <f>O293*G294/12</f>
        <v/>
      </c>
      <c r="N294" s="13">
        <f>MIN(H294+L294,O293+M294)</f>
        <v/>
      </c>
      <c r="O294" s="13">
        <f>MAX(0,O293+M294-N294)</f>
        <v/>
      </c>
    </row>
    <row r="295">
      <c r="A295" s="11" t="n">
        <v>55032</v>
      </c>
      <c r="B295" s="15">
        <f>IF(MONTH(A295)=4,B294*(1+Inputs!$B$6),B294)</f>
        <v/>
      </c>
      <c r="C295" s="15">
        <f>IF(AND(MONTH(A295)=4,YEAR(A295)&gt;=Inputs!$B$20),C294*(1+Inputs!$B$21),C294)</f>
        <v/>
      </c>
      <c r="D295" s="15">
        <f>IF(AND(MONTH(A295)=4,YEAR(A295)&gt;=Inputs!$B$20),D294*(1+Inputs!$B$21),D294)</f>
        <v/>
      </c>
      <c r="E295" s="12">
        <f>VLOOKUP(A295,Inputs!$A$53:$C$55,2,TRUE)</f>
        <v/>
      </c>
      <c r="F295" s="12">
        <f>VLOOKUP(A295,Inputs!$A$53:$C$55,3,TRUE)</f>
        <v/>
      </c>
      <c r="G295" s="12">
        <f>MIN(F295,E295+0.03*MAX(0,MIN(1,(B295-C295)/(D295-C295))))</f>
        <v/>
      </c>
      <c r="H295" s="13">
        <f>MAX(0,0.09*(B295-C295)/12)</f>
        <v/>
      </c>
      <c r="I295" s="13">
        <f>K294*G295/12</f>
        <v/>
      </c>
      <c r="J295" s="13">
        <f>MIN(H295,K294+I295)</f>
        <v/>
      </c>
      <c r="K295" s="13">
        <f>MAX(0,K294+I295-J295)</f>
        <v/>
      </c>
      <c r="L295" s="13">
        <f>Inputs!$B$7+IF(AND(YEAR(A295)=YEAR(Inputs!$B$9),MONTH(A295)=MONTH(Inputs!$B$9)),Inputs!$B$8,0)</f>
        <v/>
      </c>
      <c r="M295" s="13">
        <f>O294*G295/12</f>
        <v/>
      </c>
      <c r="N295" s="13">
        <f>MIN(H295+L295,O294+M295)</f>
        <v/>
      </c>
      <c r="O295" s="13">
        <f>MAX(0,O294+M295-N295)</f>
        <v/>
      </c>
    </row>
    <row r="296">
      <c r="A296" s="11" t="n">
        <v>55062</v>
      </c>
      <c r="B296" s="15">
        <f>IF(MONTH(A296)=4,B295*(1+Inputs!$B$6),B295)</f>
        <v/>
      </c>
      <c r="C296" s="15">
        <f>IF(AND(MONTH(A296)=4,YEAR(A296)&gt;=Inputs!$B$20),C295*(1+Inputs!$B$21),C295)</f>
        <v/>
      </c>
      <c r="D296" s="15">
        <f>IF(AND(MONTH(A296)=4,YEAR(A296)&gt;=Inputs!$B$20),D295*(1+Inputs!$B$21),D295)</f>
        <v/>
      </c>
      <c r="E296" s="12">
        <f>VLOOKUP(A296,Inputs!$A$53:$C$55,2,TRUE)</f>
        <v/>
      </c>
      <c r="F296" s="12">
        <f>VLOOKUP(A296,Inputs!$A$53:$C$55,3,TRUE)</f>
        <v/>
      </c>
      <c r="G296" s="12">
        <f>MIN(F296,E296+0.03*MAX(0,MIN(1,(B296-C296)/(D296-C296))))</f>
        <v/>
      </c>
      <c r="H296" s="13">
        <f>MAX(0,0.09*(B296-C296)/12)</f>
        <v/>
      </c>
      <c r="I296" s="13">
        <f>K295*G296/12</f>
        <v/>
      </c>
      <c r="J296" s="13">
        <f>MIN(H296,K295+I296)</f>
        <v/>
      </c>
      <c r="K296" s="13">
        <f>MAX(0,K295+I296-J296)</f>
        <v/>
      </c>
      <c r="L296" s="13">
        <f>Inputs!$B$7+IF(AND(YEAR(A296)=YEAR(Inputs!$B$9),MONTH(A296)=MONTH(Inputs!$B$9)),Inputs!$B$8,0)</f>
        <v/>
      </c>
      <c r="M296" s="13">
        <f>O295*G296/12</f>
        <v/>
      </c>
      <c r="N296" s="13">
        <f>MIN(H296+L296,O295+M296)</f>
        <v/>
      </c>
      <c r="O296" s="13">
        <f>MAX(0,O295+M296-N296)</f>
        <v/>
      </c>
    </row>
    <row r="297">
      <c r="A297" s="11" t="n">
        <v>55093</v>
      </c>
      <c r="B297" s="15">
        <f>IF(MONTH(A297)=4,B296*(1+Inputs!$B$6),B296)</f>
        <v/>
      </c>
      <c r="C297" s="15">
        <f>IF(AND(MONTH(A297)=4,YEAR(A297)&gt;=Inputs!$B$20),C296*(1+Inputs!$B$21),C296)</f>
        <v/>
      </c>
      <c r="D297" s="15">
        <f>IF(AND(MONTH(A297)=4,YEAR(A297)&gt;=Inputs!$B$20),D296*(1+Inputs!$B$21),D296)</f>
        <v/>
      </c>
      <c r="E297" s="12">
        <f>VLOOKUP(A297,Inputs!$A$53:$C$55,2,TRUE)</f>
        <v/>
      </c>
      <c r="F297" s="12">
        <f>VLOOKUP(A297,Inputs!$A$53:$C$55,3,TRUE)</f>
        <v/>
      </c>
      <c r="G297" s="12">
        <f>MIN(F297,E297+0.03*MAX(0,MIN(1,(B297-C297)/(D297-C297))))</f>
        <v/>
      </c>
      <c r="H297" s="13">
        <f>MAX(0,0.09*(B297-C297)/12)</f>
        <v/>
      </c>
      <c r="I297" s="13">
        <f>K296*G297/12</f>
        <v/>
      </c>
      <c r="J297" s="13">
        <f>MIN(H297,K296+I297)</f>
        <v/>
      </c>
      <c r="K297" s="13">
        <f>MAX(0,K296+I297-J297)</f>
        <v/>
      </c>
      <c r="L297" s="13">
        <f>Inputs!$B$7+IF(AND(YEAR(A297)=YEAR(Inputs!$B$9),MONTH(A297)=MONTH(Inputs!$B$9)),Inputs!$B$8,0)</f>
        <v/>
      </c>
      <c r="M297" s="13">
        <f>O296*G297/12</f>
        <v/>
      </c>
      <c r="N297" s="13">
        <f>MIN(H297+L297,O296+M297)</f>
        <v/>
      </c>
      <c r="O297" s="13">
        <f>MAX(0,O296+M297-N297)</f>
        <v/>
      </c>
    </row>
    <row r="298">
      <c r="A298" s="11" t="n">
        <v>55123</v>
      </c>
      <c r="B298" s="15">
        <f>IF(MONTH(A298)=4,B297*(1+Inputs!$B$6),B297)</f>
        <v/>
      </c>
      <c r="C298" s="15">
        <f>IF(AND(MONTH(A298)=4,YEAR(A298)&gt;=Inputs!$B$20),C297*(1+Inputs!$B$21),C297)</f>
        <v/>
      </c>
      <c r="D298" s="15">
        <f>IF(AND(MONTH(A298)=4,YEAR(A298)&gt;=Inputs!$B$20),D297*(1+Inputs!$B$21),D297)</f>
        <v/>
      </c>
      <c r="E298" s="12">
        <f>VLOOKUP(A298,Inputs!$A$53:$C$55,2,TRUE)</f>
        <v/>
      </c>
      <c r="F298" s="12">
        <f>VLOOKUP(A298,Inputs!$A$53:$C$55,3,TRUE)</f>
        <v/>
      </c>
      <c r="G298" s="12">
        <f>MIN(F298,E298+0.03*MAX(0,MIN(1,(B298-C298)/(D298-C298))))</f>
        <v/>
      </c>
      <c r="H298" s="13">
        <f>MAX(0,0.09*(B298-C298)/12)</f>
        <v/>
      </c>
      <c r="I298" s="13">
        <f>K297*G298/12</f>
        <v/>
      </c>
      <c r="J298" s="13">
        <f>MIN(H298,K297+I298)</f>
        <v/>
      </c>
      <c r="K298" s="13">
        <f>MAX(0,K297+I298-J298)</f>
        <v/>
      </c>
      <c r="L298" s="13">
        <f>Inputs!$B$7+IF(AND(YEAR(A298)=YEAR(Inputs!$B$9),MONTH(A298)=MONTH(Inputs!$B$9)),Inputs!$B$8,0)</f>
        <v/>
      </c>
      <c r="M298" s="13">
        <f>O297*G298/12</f>
        <v/>
      </c>
      <c r="N298" s="13">
        <f>MIN(H298+L298,O297+M298)</f>
        <v/>
      </c>
      <c r="O298" s="13">
        <f>MAX(0,O297+M298-N298)</f>
        <v/>
      </c>
    </row>
    <row r="299">
      <c r="A299" s="11" t="n">
        <v>55154</v>
      </c>
      <c r="B299" s="15">
        <f>IF(MONTH(A299)=4,B298*(1+Inputs!$B$6),B298)</f>
        <v/>
      </c>
      <c r="C299" s="15">
        <f>IF(AND(MONTH(A299)=4,YEAR(A299)&gt;=Inputs!$B$20),C298*(1+Inputs!$B$21),C298)</f>
        <v/>
      </c>
      <c r="D299" s="15">
        <f>IF(AND(MONTH(A299)=4,YEAR(A299)&gt;=Inputs!$B$20),D298*(1+Inputs!$B$21),D298)</f>
        <v/>
      </c>
      <c r="E299" s="12">
        <f>VLOOKUP(A299,Inputs!$A$53:$C$55,2,TRUE)</f>
        <v/>
      </c>
      <c r="F299" s="12">
        <f>VLOOKUP(A299,Inputs!$A$53:$C$55,3,TRUE)</f>
        <v/>
      </c>
      <c r="G299" s="12">
        <f>MIN(F299,E299+0.03*MAX(0,MIN(1,(B299-C299)/(D299-C299))))</f>
        <v/>
      </c>
      <c r="H299" s="13">
        <f>MAX(0,0.09*(B299-C299)/12)</f>
        <v/>
      </c>
      <c r="I299" s="13">
        <f>K298*G299/12</f>
        <v/>
      </c>
      <c r="J299" s="13">
        <f>MIN(H299,K298+I299)</f>
        <v/>
      </c>
      <c r="K299" s="13">
        <f>MAX(0,K298+I299-J299)</f>
        <v/>
      </c>
      <c r="L299" s="13">
        <f>Inputs!$B$7+IF(AND(YEAR(A299)=YEAR(Inputs!$B$9),MONTH(A299)=MONTH(Inputs!$B$9)),Inputs!$B$8,0)</f>
        <v/>
      </c>
      <c r="M299" s="13">
        <f>O298*G299/12</f>
        <v/>
      </c>
      <c r="N299" s="13">
        <f>MIN(H299+L299,O298+M299)</f>
        <v/>
      </c>
      <c r="O299" s="13">
        <f>MAX(0,O298+M299-N299)</f>
        <v/>
      </c>
    </row>
    <row r="300">
      <c r="A300" s="11" t="n">
        <v>55185</v>
      </c>
      <c r="B300" s="15">
        <f>IF(MONTH(A300)=4,B299*(1+Inputs!$B$6),B299)</f>
        <v/>
      </c>
      <c r="C300" s="15">
        <f>IF(AND(MONTH(A300)=4,YEAR(A300)&gt;=Inputs!$B$20),C299*(1+Inputs!$B$21),C299)</f>
        <v/>
      </c>
      <c r="D300" s="15">
        <f>IF(AND(MONTH(A300)=4,YEAR(A300)&gt;=Inputs!$B$20),D299*(1+Inputs!$B$21),D299)</f>
        <v/>
      </c>
      <c r="E300" s="12">
        <f>VLOOKUP(A300,Inputs!$A$53:$C$55,2,TRUE)</f>
        <v/>
      </c>
      <c r="F300" s="12">
        <f>VLOOKUP(A300,Inputs!$A$53:$C$55,3,TRUE)</f>
        <v/>
      </c>
      <c r="G300" s="12">
        <f>MIN(F300,E300+0.03*MAX(0,MIN(1,(B300-C300)/(D300-C300))))</f>
        <v/>
      </c>
      <c r="H300" s="13">
        <f>MAX(0,0.09*(B300-C300)/12)</f>
        <v/>
      </c>
      <c r="I300" s="13">
        <f>K299*G300/12</f>
        <v/>
      </c>
      <c r="J300" s="13">
        <f>MIN(H300,K299+I300)</f>
        <v/>
      </c>
      <c r="K300" s="13">
        <f>MAX(0,K299+I300-J300)</f>
        <v/>
      </c>
      <c r="L300" s="13">
        <f>Inputs!$B$7+IF(AND(YEAR(A300)=YEAR(Inputs!$B$9),MONTH(A300)=MONTH(Inputs!$B$9)),Inputs!$B$8,0)</f>
        <v/>
      </c>
      <c r="M300" s="13">
        <f>O299*G300/12</f>
        <v/>
      </c>
      <c r="N300" s="13">
        <f>MIN(H300+L300,O299+M300)</f>
        <v/>
      </c>
      <c r="O300" s="13">
        <f>MAX(0,O299+M300-N300)</f>
        <v/>
      </c>
    </row>
    <row r="301">
      <c r="A301" s="11" t="n">
        <v>55213</v>
      </c>
      <c r="B301" s="15">
        <f>IF(MONTH(A301)=4,B300*(1+Inputs!$B$6),B300)</f>
        <v/>
      </c>
      <c r="C301" s="15">
        <f>IF(AND(MONTH(A301)=4,YEAR(A301)&gt;=Inputs!$B$20),C300*(1+Inputs!$B$21),C300)</f>
        <v/>
      </c>
      <c r="D301" s="15">
        <f>IF(AND(MONTH(A301)=4,YEAR(A301)&gt;=Inputs!$B$20),D300*(1+Inputs!$B$21),D300)</f>
        <v/>
      </c>
      <c r="E301" s="12">
        <f>VLOOKUP(A301,Inputs!$A$53:$C$55,2,TRUE)</f>
        <v/>
      </c>
      <c r="F301" s="12">
        <f>VLOOKUP(A301,Inputs!$A$53:$C$55,3,TRUE)</f>
        <v/>
      </c>
      <c r="G301" s="12">
        <f>MIN(F301,E301+0.03*MAX(0,MIN(1,(B301-C301)/(D301-C301))))</f>
        <v/>
      </c>
      <c r="H301" s="13">
        <f>MAX(0,0.09*(B301-C301)/12)</f>
        <v/>
      </c>
      <c r="I301" s="13">
        <f>K300*G301/12</f>
        <v/>
      </c>
      <c r="J301" s="13">
        <f>MIN(H301,K300+I301)</f>
        <v/>
      </c>
      <c r="K301" s="13">
        <f>MAX(0,K300+I301-J301)</f>
        <v/>
      </c>
      <c r="L301" s="13">
        <f>Inputs!$B$7+IF(AND(YEAR(A301)=YEAR(Inputs!$B$9),MONTH(A301)=MONTH(Inputs!$B$9)),Inputs!$B$8,0)</f>
        <v/>
      </c>
      <c r="M301" s="13">
        <f>O300*G301/12</f>
        <v/>
      </c>
      <c r="N301" s="13">
        <f>MIN(H301+L301,O300+M301)</f>
        <v/>
      </c>
      <c r="O301" s="13">
        <f>MAX(0,O300+M301-N301)</f>
        <v/>
      </c>
    </row>
    <row r="302">
      <c r="A302" s="11" t="n">
        <v>55244</v>
      </c>
      <c r="B302" s="15">
        <f>IF(MONTH(A302)=4,B301*(1+Inputs!$B$6),B301)</f>
        <v/>
      </c>
      <c r="C302" s="15">
        <f>IF(AND(MONTH(A302)=4,YEAR(A302)&gt;=Inputs!$B$20),C301*(1+Inputs!$B$21),C301)</f>
        <v/>
      </c>
      <c r="D302" s="15">
        <f>IF(AND(MONTH(A302)=4,YEAR(A302)&gt;=Inputs!$B$20),D301*(1+Inputs!$B$21),D301)</f>
        <v/>
      </c>
      <c r="E302" s="12">
        <f>VLOOKUP(A302,Inputs!$A$53:$C$55,2,TRUE)</f>
        <v/>
      </c>
      <c r="F302" s="12">
        <f>VLOOKUP(A302,Inputs!$A$53:$C$55,3,TRUE)</f>
        <v/>
      </c>
      <c r="G302" s="12">
        <f>MIN(F302,E302+0.03*MAX(0,MIN(1,(B302-C302)/(D302-C302))))</f>
        <v/>
      </c>
      <c r="H302" s="13">
        <f>MAX(0,0.09*(B302-C302)/12)</f>
        <v/>
      </c>
      <c r="I302" s="13">
        <f>K301*G302/12</f>
        <v/>
      </c>
      <c r="J302" s="13">
        <f>MIN(H302,K301+I302)</f>
        <v/>
      </c>
      <c r="K302" s="13">
        <f>MAX(0,K301+I302-J302)</f>
        <v/>
      </c>
      <c r="L302" s="13">
        <f>Inputs!$B$7+IF(AND(YEAR(A302)=YEAR(Inputs!$B$9),MONTH(A302)=MONTH(Inputs!$B$9)),Inputs!$B$8,0)</f>
        <v/>
      </c>
      <c r="M302" s="13">
        <f>O301*G302/12</f>
        <v/>
      </c>
      <c r="N302" s="13">
        <f>MIN(H302+L302,O301+M302)</f>
        <v/>
      </c>
      <c r="O302" s="13">
        <f>MAX(0,O301+M302-N302)</f>
        <v/>
      </c>
    </row>
    <row r="303">
      <c r="A303" s="11" t="n">
        <v>55274</v>
      </c>
      <c r="B303" s="15">
        <f>IF(MONTH(A303)=4,B302*(1+Inputs!$B$6),B302)</f>
        <v/>
      </c>
      <c r="C303" s="15">
        <f>IF(AND(MONTH(A303)=4,YEAR(A303)&gt;=Inputs!$B$20),C302*(1+Inputs!$B$21),C302)</f>
        <v/>
      </c>
      <c r="D303" s="15">
        <f>IF(AND(MONTH(A303)=4,YEAR(A303)&gt;=Inputs!$B$20),D302*(1+Inputs!$B$21),D302)</f>
        <v/>
      </c>
      <c r="E303" s="12">
        <f>VLOOKUP(A303,Inputs!$A$53:$C$55,2,TRUE)</f>
        <v/>
      </c>
      <c r="F303" s="12">
        <f>VLOOKUP(A303,Inputs!$A$53:$C$55,3,TRUE)</f>
        <v/>
      </c>
      <c r="G303" s="12">
        <f>MIN(F303,E303+0.03*MAX(0,MIN(1,(B303-C303)/(D303-C303))))</f>
        <v/>
      </c>
      <c r="H303" s="13">
        <f>MAX(0,0.09*(B303-C303)/12)</f>
        <v/>
      </c>
      <c r="I303" s="13">
        <f>K302*G303/12</f>
        <v/>
      </c>
      <c r="J303" s="13">
        <f>MIN(H303,K302+I303)</f>
        <v/>
      </c>
      <c r="K303" s="13">
        <f>MAX(0,K302+I303-J303)</f>
        <v/>
      </c>
      <c r="L303" s="13">
        <f>Inputs!$B$7+IF(AND(YEAR(A303)=YEAR(Inputs!$B$9),MONTH(A303)=MONTH(Inputs!$B$9)),Inputs!$B$8,0)</f>
        <v/>
      </c>
      <c r="M303" s="13">
        <f>O302*G303/12</f>
        <v/>
      </c>
      <c r="N303" s="13">
        <f>MIN(H303+L303,O302+M303)</f>
        <v/>
      </c>
      <c r="O303" s="13">
        <f>MAX(0,O302+M303-N303)</f>
        <v/>
      </c>
    </row>
    <row r="304">
      <c r="A304" s="11" t="n">
        <v>55305</v>
      </c>
      <c r="B304" s="15">
        <f>IF(MONTH(A304)=4,B303*(1+Inputs!$B$6),B303)</f>
        <v/>
      </c>
      <c r="C304" s="15">
        <f>IF(AND(MONTH(A304)=4,YEAR(A304)&gt;=Inputs!$B$20),C303*(1+Inputs!$B$21),C303)</f>
        <v/>
      </c>
      <c r="D304" s="15">
        <f>IF(AND(MONTH(A304)=4,YEAR(A304)&gt;=Inputs!$B$20),D303*(1+Inputs!$B$21),D303)</f>
        <v/>
      </c>
      <c r="E304" s="12">
        <f>VLOOKUP(A304,Inputs!$A$53:$C$55,2,TRUE)</f>
        <v/>
      </c>
      <c r="F304" s="12">
        <f>VLOOKUP(A304,Inputs!$A$53:$C$55,3,TRUE)</f>
        <v/>
      </c>
      <c r="G304" s="12">
        <f>MIN(F304,E304+0.03*MAX(0,MIN(1,(B304-C304)/(D304-C304))))</f>
        <v/>
      </c>
      <c r="H304" s="13">
        <f>MAX(0,0.09*(B304-C304)/12)</f>
        <v/>
      </c>
      <c r="I304" s="13">
        <f>K303*G304/12</f>
        <v/>
      </c>
      <c r="J304" s="13">
        <f>MIN(H304,K303+I304)</f>
        <v/>
      </c>
      <c r="K304" s="13">
        <f>MAX(0,K303+I304-J304)</f>
        <v/>
      </c>
      <c r="L304" s="13">
        <f>Inputs!$B$7+IF(AND(YEAR(A304)=YEAR(Inputs!$B$9),MONTH(A304)=MONTH(Inputs!$B$9)),Inputs!$B$8,0)</f>
        <v/>
      </c>
      <c r="M304" s="13">
        <f>O303*G304/12</f>
        <v/>
      </c>
      <c r="N304" s="13">
        <f>MIN(H304+L304,O303+M304)</f>
        <v/>
      </c>
      <c r="O304" s="13">
        <f>MAX(0,O303+M304-N304)</f>
        <v/>
      </c>
    </row>
    <row r="305">
      <c r="A305" s="11" t="n">
        <v>55335</v>
      </c>
      <c r="B305" s="15">
        <f>IF(MONTH(A305)=4,B304*(1+Inputs!$B$6),B304)</f>
        <v/>
      </c>
      <c r="C305" s="15">
        <f>IF(AND(MONTH(A305)=4,YEAR(A305)&gt;=Inputs!$B$20),C304*(1+Inputs!$B$21),C304)</f>
        <v/>
      </c>
      <c r="D305" s="15">
        <f>IF(AND(MONTH(A305)=4,YEAR(A305)&gt;=Inputs!$B$20),D304*(1+Inputs!$B$21),D304)</f>
        <v/>
      </c>
      <c r="E305" s="12">
        <f>VLOOKUP(A305,Inputs!$A$53:$C$55,2,TRUE)</f>
        <v/>
      </c>
      <c r="F305" s="12">
        <f>VLOOKUP(A305,Inputs!$A$53:$C$55,3,TRUE)</f>
        <v/>
      </c>
      <c r="G305" s="12">
        <f>MIN(F305,E305+0.03*MAX(0,MIN(1,(B305-C305)/(D305-C305))))</f>
        <v/>
      </c>
      <c r="H305" s="13">
        <f>MAX(0,0.09*(B305-C305)/12)</f>
        <v/>
      </c>
      <c r="I305" s="13">
        <f>K304*G305/12</f>
        <v/>
      </c>
      <c r="J305" s="13">
        <f>MIN(H305,K304+I305)</f>
        <v/>
      </c>
      <c r="K305" s="13">
        <f>MAX(0,K304+I305-J305)</f>
        <v/>
      </c>
      <c r="L305" s="13">
        <f>Inputs!$B$7+IF(AND(YEAR(A305)=YEAR(Inputs!$B$9),MONTH(A305)=MONTH(Inputs!$B$9)),Inputs!$B$8,0)</f>
        <v/>
      </c>
      <c r="M305" s="13">
        <f>O304*G305/12</f>
        <v/>
      </c>
      <c r="N305" s="13">
        <f>MIN(H305+L305,O304+M305)</f>
        <v/>
      </c>
      <c r="O305" s="13">
        <f>MAX(0,O304+M305-N305)</f>
        <v/>
      </c>
    </row>
    <row r="306">
      <c r="A306" s="11" t="n">
        <v>55366</v>
      </c>
      <c r="B306" s="15">
        <f>IF(MONTH(A306)=4,B305*(1+Inputs!$B$6),B305)</f>
        <v/>
      </c>
      <c r="C306" s="15">
        <f>IF(AND(MONTH(A306)=4,YEAR(A306)&gt;=Inputs!$B$20),C305*(1+Inputs!$B$21),C305)</f>
        <v/>
      </c>
      <c r="D306" s="15">
        <f>IF(AND(MONTH(A306)=4,YEAR(A306)&gt;=Inputs!$B$20),D305*(1+Inputs!$B$21),D305)</f>
        <v/>
      </c>
      <c r="E306" s="12">
        <f>VLOOKUP(A306,Inputs!$A$53:$C$55,2,TRUE)</f>
        <v/>
      </c>
      <c r="F306" s="12">
        <f>VLOOKUP(A306,Inputs!$A$53:$C$55,3,TRUE)</f>
        <v/>
      </c>
      <c r="G306" s="12">
        <f>MIN(F306,E306+0.03*MAX(0,MIN(1,(B306-C306)/(D306-C306))))</f>
        <v/>
      </c>
      <c r="H306" s="13">
        <f>MAX(0,0.09*(B306-C306)/12)</f>
        <v/>
      </c>
      <c r="I306" s="13">
        <f>K305*G306/12</f>
        <v/>
      </c>
      <c r="J306" s="13">
        <f>MIN(H306,K305+I306)</f>
        <v/>
      </c>
      <c r="K306" s="13">
        <f>MAX(0,K305+I306-J306)</f>
        <v/>
      </c>
      <c r="L306" s="13">
        <f>Inputs!$B$7+IF(AND(YEAR(A306)=YEAR(Inputs!$B$9),MONTH(A306)=MONTH(Inputs!$B$9)),Inputs!$B$8,0)</f>
        <v/>
      </c>
      <c r="M306" s="13">
        <f>O305*G306/12</f>
        <v/>
      </c>
      <c r="N306" s="13">
        <f>MIN(H306+L306,O305+M306)</f>
        <v/>
      </c>
      <c r="O306" s="13">
        <f>MAX(0,O305+M306-N306)</f>
        <v/>
      </c>
    </row>
    <row r="307">
      <c r="A307" s="11" t="n">
        <v>55397</v>
      </c>
      <c r="B307" s="15">
        <f>IF(MONTH(A307)=4,B306*(1+Inputs!$B$6),B306)</f>
        <v/>
      </c>
      <c r="C307" s="15">
        <f>IF(AND(MONTH(A307)=4,YEAR(A307)&gt;=Inputs!$B$20),C306*(1+Inputs!$B$21),C306)</f>
        <v/>
      </c>
      <c r="D307" s="15">
        <f>IF(AND(MONTH(A307)=4,YEAR(A307)&gt;=Inputs!$B$20),D306*(1+Inputs!$B$21),D306)</f>
        <v/>
      </c>
      <c r="E307" s="12">
        <f>VLOOKUP(A307,Inputs!$A$53:$C$55,2,TRUE)</f>
        <v/>
      </c>
      <c r="F307" s="12">
        <f>VLOOKUP(A307,Inputs!$A$53:$C$55,3,TRUE)</f>
        <v/>
      </c>
      <c r="G307" s="12">
        <f>MIN(F307,E307+0.03*MAX(0,MIN(1,(B307-C307)/(D307-C307))))</f>
        <v/>
      </c>
      <c r="H307" s="13">
        <f>MAX(0,0.09*(B307-C307)/12)</f>
        <v/>
      </c>
      <c r="I307" s="13">
        <f>K306*G307/12</f>
        <v/>
      </c>
      <c r="J307" s="13">
        <f>MIN(H307,K306+I307)</f>
        <v/>
      </c>
      <c r="K307" s="13">
        <f>MAX(0,K306+I307-J307)</f>
        <v/>
      </c>
      <c r="L307" s="13">
        <f>Inputs!$B$7+IF(AND(YEAR(A307)=YEAR(Inputs!$B$9),MONTH(A307)=MONTH(Inputs!$B$9)),Inputs!$B$8,0)</f>
        <v/>
      </c>
      <c r="M307" s="13">
        <f>O306*G307/12</f>
        <v/>
      </c>
      <c r="N307" s="13">
        <f>MIN(H307+L307,O306+M307)</f>
        <v/>
      </c>
      <c r="O307" s="13">
        <f>MAX(0,O306+M307-N307)</f>
        <v/>
      </c>
    </row>
    <row r="308">
      <c r="A308" s="11" t="n">
        <v>55427</v>
      </c>
      <c r="B308" s="15">
        <f>IF(MONTH(A308)=4,B307*(1+Inputs!$B$6),B307)</f>
        <v/>
      </c>
      <c r="C308" s="15">
        <f>IF(AND(MONTH(A308)=4,YEAR(A308)&gt;=Inputs!$B$20),C307*(1+Inputs!$B$21),C307)</f>
        <v/>
      </c>
      <c r="D308" s="15">
        <f>IF(AND(MONTH(A308)=4,YEAR(A308)&gt;=Inputs!$B$20),D307*(1+Inputs!$B$21),D307)</f>
        <v/>
      </c>
      <c r="E308" s="12">
        <f>VLOOKUP(A308,Inputs!$A$53:$C$55,2,TRUE)</f>
        <v/>
      </c>
      <c r="F308" s="12">
        <f>VLOOKUP(A308,Inputs!$A$53:$C$55,3,TRUE)</f>
        <v/>
      </c>
      <c r="G308" s="12">
        <f>MIN(F308,E308+0.03*MAX(0,MIN(1,(B308-C308)/(D308-C308))))</f>
        <v/>
      </c>
      <c r="H308" s="13">
        <f>MAX(0,0.09*(B308-C308)/12)</f>
        <v/>
      </c>
      <c r="I308" s="13">
        <f>K307*G308/12</f>
        <v/>
      </c>
      <c r="J308" s="13">
        <f>MIN(H308,K307+I308)</f>
        <v/>
      </c>
      <c r="K308" s="13">
        <f>MAX(0,K307+I308-J308)</f>
        <v/>
      </c>
      <c r="L308" s="13">
        <f>Inputs!$B$7+IF(AND(YEAR(A308)=YEAR(Inputs!$B$9),MONTH(A308)=MONTH(Inputs!$B$9)),Inputs!$B$8,0)</f>
        <v/>
      </c>
      <c r="M308" s="13">
        <f>O307*G308/12</f>
        <v/>
      </c>
      <c r="N308" s="13">
        <f>MIN(H308+L308,O307+M308)</f>
        <v/>
      </c>
      <c r="O308" s="13">
        <f>MAX(0,O307+M308-N308)</f>
        <v/>
      </c>
    </row>
    <row r="309">
      <c r="A309" s="11" t="n">
        <v>55458</v>
      </c>
      <c r="B309" s="15">
        <f>IF(MONTH(A309)=4,B308*(1+Inputs!$B$6),B308)</f>
        <v/>
      </c>
      <c r="C309" s="15">
        <f>IF(AND(MONTH(A309)=4,YEAR(A309)&gt;=Inputs!$B$20),C308*(1+Inputs!$B$21),C308)</f>
        <v/>
      </c>
      <c r="D309" s="15">
        <f>IF(AND(MONTH(A309)=4,YEAR(A309)&gt;=Inputs!$B$20),D308*(1+Inputs!$B$21),D308)</f>
        <v/>
      </c>
      <c r="E309" s="12">
        <f>VLOOKUP(A309,Inputs!$A$53:$C$55,2,TRUE)</f>
        <v/>
      </c>
      <c r="F309" s="12">
        <f>VLOOKUP(A309,Inputs!$A$53:$C$55,3,TRUE)</f>
        <v/>
      </c>
      <c r="G309" s="12">
        <f>MIN(F309,E309+0.03*MAX(0,MIN(1,(B309-C309)/(D309-C309))))</f>
        <v/>
      </c>
      <c r="H309" s="13">
        <f>MAX(0,0.09*(B309-C309)/12)</f>
        <v/>
      </c>
      <c r="I309" s="13">
        <f>K308*G309/12</f>
        <v/>
      </c>
      <c r="J309" s="13">
        <f>MIN(H309,K308+I309)</f>
        <v/>
      </c>
      <c r="K309" s="13">
        <f>MAX(0,K308+I309-J309)</f>
        <v/>
      </c>
      <c r="L309" s="13">
        <f>Inputs!$B$7+IF(AND(YEAR(A309)=YEAR(Inputs!$B$9),MONTH(A309)=MONTH(Inputs!$B$9)),Inputs!$B$8,0)</f>
        <v/>
      </c>
      <c r="M309" s="13">
        <f>O308*G309/12</f>
        <v/>
      </c>
      <c r="N309" s="13">
        <f>MIN(H309+L309,O308+M309)</f>
        <v/>
      </c>
      <c r="O309" s="13">
        <f>MAX(0,O308+M309-N309)</f>
        <v/>
      </c>
    </row>
    <row r="310">
      <c r="A310" s="11" t="n">
        <v>55488</v>
      </c>
      <c r="B310" s="15">
        <f>IF(MONTH(A310)=4,B309*(1+Inputs!$B$6),B309)</f>
        <v/>
      </c>
      <c r="C310" s="15">
        <f>IF(AND(MONTH(A310)=4,YEAR(A310)&gt;=Inputs!$B$20),C309*(1+Inputs!$B$21),C309)</f>
        <v/>
      </c>
      <c r="D310" s="15">
        <f>IF(AND(MONTH(A310)=4,YEAR(A310)&gt;=Inputs!$B$20),D309*(1+Inputs!$B$21),D309)</f>
        <v/>
      </c>
      <c r="E310" s="12">
        <f>VLOOKUP(A310,Inputs!$A$53:$C$55,2,TRUE)</f>
        <v/>
      </c>
      <c r="F310" s="12">
        <f>VLOOKUP(A310,Inputs!$A$53:$C$55,3,TRUE)</f>
        <v/>
      </c>
      <c r="G310" s="12">
        <f>MIN(F310,E310+0.03*MAX(0,MIN(1,(B310-C310)/(D310-C310))))</f>
        <v/>
      </c>
      <c r="H310" s="13">
        <f>MAX(0,0.09*(B310-C310)/12)</f>
        <v/>
      </c>
      <c r="I310" s="13">
        <f>K309*G310/12</f>
        <v/>
      </c>
      <c r="J310" s="13">
        <f>MIN(H310,K309+I310)</f>
        <v/>
      </c>
      <c r="K310" s="13">
        <f>MAX(0,K309+I310-J310)</f>
        <v/>
      </c>
      <c r="L310" s="13">
        <f>Inputs!$B$7+IF(AND(YEAR(A310)=YEAR(Inputs!$B$9),MONTH(A310)=MONTH(Inputs!$B$9)),Inputs!$B$8,0)</f>
        <v/>
      </c>
      <c r="M310" s="13">
        <f>O309*G310/12</f>
        <v/>
      </c>
      <c r="N310" s="13">
        <f>MIN(H310+L310,O309+M310)</f>
        <v/>
      </c>
      <c r="O310" s="13">
        <f>MAX(0,O309+M310-N310)</f>
        <v/>
      </c>
    </row>
    <row r="311">
      <c r="A311" s="11" t="n">
        <v>55519</v>
      </c>
      <c r="B311" s="15">
        <f>IF(MONTH(A311)=4,B310*(1+Inputs!$B$6),B310)</f>
        <v/>
      </c>
      <c r="C311" s="15">
        <f>IF(AND(MONTH(A311)=4,YEAR(A311)&gt;=Inputs!$B$20),C310*(1+Inputs!$B$21),C310)</f>
        <v/>
      </c>
      <c r="D311" s="15">
        <f>IF(AND(MONTH(A311)=4,YEAR(A311)&gt;=Inputs!$B$20),D310*(1+Inputs!$B$21),D310)</f>
        <v/>
      </c>
      <c r="E311" s="12">
        <f>VLOOKUP(A311,Inputs!$A$53:$C$55,2,TRUE)</f>
        <v/>
      </c>
      <c r="F311" s="12">
        <f>VLOOKUP(A311,Inputs!$A$53:$C$55,3,TRUE)</f>
        <v/>
      </c>
      <c r="G311" s="12">
        <f>MIN(F311,E311+0.03*MAX(0,MIN(1,(B311-C311)/(D311-C311))))</f>
        <v/>
      </c>
      <c r="H311" s="13">
        <f>MAX(0,0.09*(B311-C311)/12)</f>
        <v/>
      </c>
      <c r="I311" s="13">
        <f>K310*G311/12</f>
        <v/>
      </c>
      <c r="J311" s="13">
        <f>MIN(H311,K310+I311)</f>
        <v/>
      </c>
      <c r="K311" s="13">
        <f>MAX(0,K310+I311-J311)</f>
        <v/>
      </c>
      <c r="L311" s="13">
        <f>Inputs!$B$7+IF(AND(YEAR(A311)=YEAR(Inputs!$B$9),MONTH(A311)=MONTH(Inputs!$B$9)),Inputs!$B$8,0)</f>
        <v/>
      </c>
      <c r="M311" s="13">
        <f>O310*G311/12</f>
        <v/>
      </c>
      <c r="N311" s="13">
        <f>MIN(H311+L311,O310+M311)</f>
        <v/>
      </c>
      <c r="O311" s="13">
        <f>MAX(0,O310+M311-N311)</f>
        <v/>
      </c>
    </row>
    <row r="312">
      <c r="A312" s="11" t="n">
        <v>55550</v>
      </c>
      <c r="B312" s="15">
        <f>IF(MONTH(A312)=4,B311*(1+Inputs!$B$6),B311)</f>
        <v/>
      </c>
      <c r="C312" s="15">
        <f>IF(AND(MONTH(A312)=4,YEAR(A312)&gt;=Inputs!$B$20),C311*(1+Inputs!$B$21),C311)</f>
        <v/>
      </c>
      <c r="D312" s="15">
        <f>IF(AND(MONTH(A312)=4,YEAR(A312)&gt;=Inputs!$B$20),D311*(1+Inputs!$B$21),D311)</f>
        <v/>
      </c>
      <c r="E312" s="12">
        <f>VLOOKUP(A312,Inputs!$A$53:$C$55,2,TRUE)</f>
        <v/>
      </c>
      <c r="F312" s="12">
        <f>VLOOKUP(A312,Inputs!$A$53:$C$55,3,TRUE)</f>
        <v/>
      </c>
      <c r="G312" s="12">
        <f>MIN(F312,E312+0.03*MAX(0,MIN(1,(B312-C312)/(D312-C312))))</f>
        <v/>
      </c>
      <c r="H312" s="13">
        <f>MAX(0,0.09*(B312-C312)/12)</f>
        <v/>
      </c>
      <c r="I312" s="13">
        <f>K311*G312/12</f>
        <v/>
      </c>
      <c r="J312" s="13">
        <f>MIN(H312,K311+I312)</f>
        <v/>
      </c>
      <c r="K312" s="13">
        <f>MAX(0,K311+I312-J312)</f>
        <v/>
      </c>
      <c r="L312" s="13">
        <f>Inputs!$B$7+IF(AND(YEAR(A312)=YEAR(Inputs!$B$9),MONTH(A312)=MONTH(Inputs!$B$9)),Inputs!$B$8,0)</f>
        <v/>
      </c>
      <c r="M312" s="13">
        <f>O311*G312/12</f>
        <v/>
      </c>
      <c r="N312" s="13">
        <f>MIN(H312+L312,O311+M312)</f>
        <v/>
      </c>
      <c r="O312" s="13">
        <f>MAX(0,O311+M312-N312)</f>
        <v/>
      </c>
    </row>
    <row r="313">
      <c r="A313" s="11" t="n">
        <v>55579</v>
      </c>
      <c r="B313" s="15">
        <f>IF(MONTH(A313)=4,B312*(1+Inputs!$B$6),B312)</f>
        <v/>
      </c>
      <c r="C313" s="15">
        <f>IF(AND(MONTH(A313)=4,YEAR(A313)&gt;=Inputs!$B$20),C312*(1+Inputs!$B$21),C312)</f>
        <v/>
      </c>
      <c r="D313" s="15">
        <f>IF(AND(MONTH(A313)=4,YEAR(A313)&gt;=Inputs!$B$20),D312*(1+Inputs!$B$21),D312)</f>
        <v/>
      </c>
      <c r="E313" s="12">
        <f>VLOOKUP(A313,Inputs!$A$53:$C$55,2,TRUE)</f>
        <v/>
      </c>
      <c r="F313" s="12">
        <f>VLOOKUP(A313,Inputs!$A$53:$C$55,3,TRUE)</f>
        <v/>
      </c>
      <c r="G313" s="12">
        <f>MIN(F313,E313+0.03*MAX(0,MIN(1,(B313-C313)/(D313-C313))))</f>
        <v/>
      </c>
      <c r="H313" s="13">
        <f>MAX(0,0.09*(B313-C313)/12)</f>
        <v/>
      </c>
      <c r="I313" s="13">
        <f>K312*G313/12</f>
        <v/>
      </c>
      <c r="J313" s="13">
        <f>MIN(H313,K312+I313)</f>
        <v/>
      </c>
      <c r="K313" s="13">
        <f>MAX(0,K312+I313-J313)</f>
        <v/>
      </c>
      <c r="L313" s="13">
        <f>Inputs!$B$7+IF(AND(YEAR(A313)=YEAR(Inputs!$B$9),MONTH(A313)=MONTH(Inputs!$B$9)),Inputs!$B$8,0)</f>
        <v/>
      </c>
      <c r="M313" s="13">
        <f>O312*G313/12</f>
        <v/>
      </c>
      <c r="N313" s="13">
        <f>MIN(H313+L313,O312+M313)</f>
        <v/>
      </c>
      <c r="O313" s="13">
        <f>MAX(0,O312+M313-N313)</f>
        <v/>
      </c>
    </row>
    <row r="314">
      <c r="A314" s="11" t="n">
        <v>55610</v>
      </c>
      <c r="B314" s="15">
        <f>IF(MONTH(A314)=4,B313*(1+Inputs!$B$6),B313)</f>
        <v/>
      </c>
      <c r="C314" s="15">
        <f>IF(AND(MONTH(A314)=4,YEAR(A314)&gt;=Inputs!$B$20),C313*(1+Inputs!$B$21),C313)</f>
        <v/>
      </c>
      <c r="D314" s="15">
        <f>IF(AND(MONTH(A314)=4,YEAR(A314)&gt;=Inputs!$B$20),D313*(1+Inputs!$B$21),D313)</f>
        <v/>
      </c>
      <c r="E314" s="12">
        <f>VLOOKUP(A314,Inputs!$A$53:$C$55,2,TRUE)</f>
        <v/>
      </c>
      <c r="F314" s="12">
        <f>VLOOKUP(A314,Inputs!$A$53:$C$55,3,TRUE)</f>
        <v/>
      </c>
      <c r="G314" s="12">
        <f>MIN(F314,E314+0.03*MAX(0,MIN(1,(B314-C314)/(D314-C314))))</f>
        <v/>
      </c>
      <c r="H314" s="13">
        <f>MAX(0,0.09*(B314-C314)/12)</f>
        <v/>
      </c>
      <c r="I314" s="13">
        <f>K313*G314/12</f>
        <v/>
      </c>
      <c r="J314" s="13">
        <f>MIN(H314,K313+I314)</f>
        <v/>
      </c>
      <c r="K314" s="13">
        <f>MAX(0,K313+I314-J314)</f>
        <v/>
      </c>
      <c r="L314" s="13">
        <f>Inputs!$B$7+IF(AND(YEAR(A314)=YEAR(Inputs!$B$9),MONTH(A314)=MONTH(Inputs!$B$9)),Inputs!$B$8,0)</f>
        <v/>
      </c>
      <c r="M314" s="13">
        <f>O313*G314/12</f>
        <v/>
      </c>
      <c r="N314" s="13">
        <f>MIN(H314+L314,O313+M314)</f>
        <v/>
      </c>
      <c r="O314" s="13">
        <f>MAX(0,O313+M314-N314)</f>
        <v/>
      </c>
    </row>
    <row r="315">
      <c r="A315" s="11" t="n">
        <v>55640</v>
      </c>
      <c r="B315" s="15">
        <f>IF(MONTH(A315)=4,B314*(1+Inputs!$B$6),B314)</f>
        <v/>
      </c>
      <c r="C315" s="15">
        <f>IF(AND(MONTH(A315)=4,YEAR(A315)&gt;=Inputs!$B$20),C314*(1+Inputs!$B$21),C314)</f>
        <v/>
      </c>
      <c r="D315" s="15">
        <f>IF(AND(MONTH(A315)=4,YEAR(A315)&gt;=Inputs!$B$20),D314*(1+Inputs!$B$21),D314)</f>
        <v/>
      </c>
      <c r="E315" s="12">
        <f>VLOOKUP(A315,Inputs!$A$53:$C$55,2,TRUE)</f>
        <v/>
      </c>
      <c r="F315" s="12">
        <f>VLOOKUP(A315,Inputs!$A$53:$C$55,3,TRUE)</f>
        <v/>
      </c>
      <c r="G315" s="12">
        <f>MIN(F315,E315+0.03*MAX(0,MIN(1,(B315-C315)/(D315-C315))))</f>
        <v/>
      </c>
      <c r="H315" s="13">
        <f>MAX(0,0.09*(B315-C315)/12)</f>
        <v/>
      </c>
      <c r="I315" s="13">
        <f>K314*G315/12</f>
        <v/>
      </c>
      <c r="J315" s="13">
        <f>MIN(H315,K314+I315)</f>
        <v/>
      </c>
      <c r="K315" s="13">
        <f>MAX(0,K314+I315-J315)</f>
        <v/>
      </c>
      <c r="L315" s="13">
        <f>Inputs!$B$7+IF(AND(YEAR(A315)=YEAR(Inputs!$B$9),MONTH(A315)=MONTH(Inputs!$B$9)),Inputs!$B$8,0)</f>
        <v/>
      </c>
      <c r="M315" s="13">
        <f>O314*G315/12</f>
        <v/>
      </c>
      <c r="N315" s="13">
        <f>MIN(H315+L315,O314+M315)</f>
        <v/>
      </c>
      <c r="O315" s="13">
        <f>MAX(0,O314+M315-N315)</f>
        <v/>
      </c>
    </row>
    <row r="316">
      <c r="A316" s="11" t="n">
        <v>55671</v>
      </c>
      <c r="B316" s="15">
        <f>IF(MONTH(A316)=4,B315*(1+Inputs!$B$6),B315)</f>
        <v/>
      </c>
      <c r="C316" s="15">
        <f>IF(AND(MONTH(A316)=4,YEAR(A316)&gt;=Inputs!$B$20),C315*(1+Inputs!$B$21),C315)</f>
        <v/>
      </c>
      <c r="D316" s="15">
        <f>IF(AND(MONTH(A316)=4,YEAR(A316)&gt;=Inputs!$B$20),D315*(1+Inputs!$B$21),D315)</f>
        <v/>
      </c>
      <c r="E316" s="12">
        <f>VLOOKUP(A316,Inputs!$A$53:$C$55,2,TRUE)</f>
        <v/>
      </c>
      <c r="F316" s="12">
        <f>VLOOKUP(A316,Inputs!$A$53:$C$55,3,TRUE)</f>
        <v/>
      </c>
      <c r="G316" s="12">
        <f>MIN(F316,E316+0.03*MAX(0,MIN(1,(B316-C316)/(D316-C316))))</f>
        <v/>
      </c>
      <c r="H316" s="13">
        <f>MAX(0,0.09*(B316-C316)/12)</f>
        <v/>
      </c>
      <c r="I316" s="13">
        <f>K315*G316/12</f>
        <v/>
      </c>
      <c r="J316" s="13">
        <f>MIN(H316,K315+I316)</f>
        <v/>
      </c>
      <c r="K316" s="13">
        <f>MAX(0,K315+I316-J316)</f>
        <v/>
      </c>
      <c r="L316" s="13">
        <f>Inputs!$B$7+IF(AND(YEAR(A316)=YEAR(Inputs!$B$9),MONTH(A316)=MONTH(Inputs!$B$9)),Inputs!$B$8,0)</f>
        <v/>
      </c>
      <c r="M316" s="13">
        <f>O315*G316/12</f>
        <v/>
      </c>
      <c r="N316" s="13">
        <f>MIN(H316+L316,O315+M316)</f>
        <v/>
      </c>
      <c r="O316" s="13">
        <f>MAX(0,O315+M316-N316)</f>
        <v/>
      </c>
    </row>
    <row r="317">
      <c r="A317" s="11" t="n">
        <v>55701</v>
      </c>
      <c r="B317" s="15">
        <f>IF(MONTH(A317)=4,B316*(1+Inputs!$B$6),B316)</f>
        <v/>
      </c>
      <c r="C317" s="15">
        <f>IF(AND(MONTH(A317)=4,YEAR(A317)&gt;=Inputs!$B$20),C316*(1+Inputs!$B$21),C316)</f>
        <v/>
      </c>
      <c r="D317" s="15">
        <f>IF(AND(MONTH(A317)=4,YEAR(A317)&gt;=Inputs!$B$20),D316*(1+Inputs!$B$21),D316)</f>
        <v/>
      </c>
      <c r="E317" s="12">
        <f>VLOOKUP(A317,Inputs!$A$53:$C$55,2,TRUE)</f>
        <v/>
      </c>
      <c r="F317" s="12">
        <f>VLOOKUP(A317,Inputs!$A$53:$C$55,3,TRUE)</f>
        <v/>
      </c>
      <c r="G317" s="12">
        <f>MIN(F317,E317+0.03*MAX(0,MIN(1,(B317-C317)/(D317-C317))))</f>
        <v/>
      </c>
      <c r="H317" s="13">
        <f>MAX(0,0.09*(B317-C317)/12)</f>
        <v/>
      </c>
      <c r="I317" s="13">
        <f>K316*G317/12</f>
        <v/>
      </c>
      <c r="J317" s="13">
        <f>MIN(H317,K316+I317)</f>
        <v/>
      </c>
      <c r="K317" s="13">
        <f>MAX(0,K316+I317-J317)</f>
        <v/>
      </c>
      <c r="L317" s="13">
        <f>Inputs!$B$7+IF(AND(YEAR(A317)=YEAR(Inputs!$B$9),MONTH(A317)=MONTH(Inputs!$B$9)),Inputs!$B$8,0)</f>
        <v/>
      </c>
      <c r="M317" s="13">
        <f>O316*G317/12</f>
        <v/>
      </c>
      <c r="N317" s="13">
        <f>MIN(H317+L317,O316+M317)</f>
        <v/>
      </c>
      <c r="O317" s="13">
        <f>MAX(0,O316+M317-N317)</f>
        <v/>
      </c>
    </row>
    <row r="318">
      <c r="A318" s="11" t="n">
        <v>55732</v>
      </c>
      <c r="B318" s="15">
        <f>IF(MONTH(A318)=4,B317*(1+Inputs!$B$6),B317)</f>
        <v/>
      </c>
      <c r="C318" s="15">
        <f>IF(AND(MONTH(A318)=4,YEAR(A318)&gt;=Inputs!$B$20),C317*(1+Inputs!$B$21),C317)</f>
        <v/>
      </c>
      <c r="D318" s="15">
        <f>IF(AND(MONTH(A318)=4,YEAR(A318)&gt;=Inputs!$B$20),D317*(1+Inputs!$B$21),D317)</f>
        <v/>
      </c>
      <c r="E318" s="12">
        <f>VLOOKUP(A318,Inputs!$A$53:$C$55,2,TRUE)</f>
        <v/>
      </c>
      <c r="F318" s="12">
        <f>VLOOKUP(A318,Inputs!$A$53:$C$55,3,TRUE)</f>
        <v/>
      </c>
      <c r="G318" s="12">
        <f>MIN(F318,E318+0.03*MAX(0,MIN(1,(B318-C318)/(D318-C318))))</f>
        <v/>
      </c>
      <c r="H318" s="13">
        <f>MAX(0,0.09*(B318-C318)/12)</f>
        <v/>
      </c>
      <c r="I318" s="13">
        <f>K317*G318/12</f>
        <v/>
      </c>
      <c r="J318" s="13">
        <f>MIN(H318,K317+I318)</f>
        <v/>
      </c>
      <c r="K318" s="13">
        <f>MAX(0,K317+I318-J318)</f>
        <v/>
      </c>
      <c r="L318" s="13">
        <f>Inputs!$B$7+IF(AND(YEAR(A318)=YEAR(Inputs!$B$9),MONTH(A318)=MONTH(Inputs!$B$9)),Inputs!$B$8,0)</f>
        <v/>
      </c>
      <c r="M318" s="13">
        <f>O317*G318/12</f>
        <v/>
      </c>
      <c r="N318" s="13">
        <f>MIN(H318+L318,O317+M318)</f>
        <v/>
      </c>
      <c r="O318" s="13">
        <f>MAX(0,O317+M318-N318)</f>
        <v/>
      </c>
    </row>
    <row r="319">
      <c r="A319" s="11" t="n">
        <v>55763</v>
      </c>
      <c r="B319" s="15">
        <f>IF(MONTH(A319)=4,B318*(1+Inputs!$B$6),B318)</f>
        <v/>
      </c>
      <c r="C319" s="15">
        <f>IF(AND(MONTH(A319)=4,YEAR(A319)&gt;=Inputs!$B$20),C318*(1+Inputs!$B$21),C318)</f>
        <v/>
      </c>
      <c r="D319" s="15">
        <f>IF(AND(MONTH(A319)=4,YEAR(A319)&gt;=Inputs!$B$20),D318*(1+Inputs!$B$21),D318)</f>
        <v/>
      </c>
      <c r="E319" s="12">
        <f>VLOOKUP(A319,Inputs!$A$53:$C$55,2,TRUE)</f>
        <v/>
      </c>
      <c r="F319" s="12">
        <f>VLOOKUP(A319,Inputs!$A$53:$C$55,3,TRUE)</f>
        <v/>
      </c>
      <c r="G319" s="12">
        <f>MIN(F319,E319+0.03*MAX(0,MIN(1,(B319-C319)/(D319-C319))))</f>
        <v/>
      </c>
      <c r="H319" s="13">
        <f>MAX(0,0.09*(B319-C319)/12)</f>
        <v/>
      </c>
      <c r="I319" s="13">
        <f>K318*G319/12</f>
        <v/>
      </c>
      <c r="J319" s="13">
        <f>MIN(H319,K318+I319)</f>
        <v/>
      </c>
      <c r="K319" s="13">
        <f>MAX(0,K318+I319-J319)</f>
        <v/>
      </c>
      <c r="L319" s="13">
        <f>Inputs!$B$7+IF(AND(YEAR(A319)=YEAR(Inputs!$B$9),MONTH(A319)=MONTH(Inputs!$B$9)),Inputs!$B$8,0)</f>
        <v/>
      </c>
      <c r="M319" s="13">
        <f>O318*G319/12</f>
        <v/>
      </c>
      <c r="N319" s="13">
        <f>MIN(H319+L319,O318+M319)</f>
        <v/>
      </c>
      <c r="O319" s="13">
        <f>MAX(0,O318+M319-N319)</f>
        <v/>
      </c>
    </row>
    <row r="320">
      <c r="A320" s="11" t="n">
        <v>55793</v>
      </c>
      <c r="B320" s="15">
        <f>IF(MONTH(A320)=4,B319*(1+Inputs!$B$6),B319)</f>
        <v/>
      </c>
      <c r="C320" s="15">
        <f>IF(AND(MONTH(A320)=4,YEAR(A320)&gt;=Inputs!$B$20),C319*(1+Inputs!$B$21),C319)</f>
        <v/>
      </c>
      <c r="D320" s="15">
        <f>IF(AND(MONTH(A320)=4,YEAR(A320)&gt;=Inputs!$B$20),D319*(1+Inputs!$B$21),D319)</f>
        <v/>
      </c>
      <c r="E320" s="12">
        <f>VLOOKUP(A320,Inputs!$A$53:$C$55,2,TRUE)</f>
        <v/>
      </c>
      <c r="F320" s="12">
        <f>VLOOKUP(A320,Inputs!$A$53:$C$55,3,TRUE)</f>
        <v/>
      </c>
      <c r="G320" s="12">
        <f>MIN(F320,E320+0.03*MAX(0,MIN(1,(B320-C320)/(D320-C320))))</f>
        <v/>
      </c>
      <c r="H320" s="13">
        <f>MAX(0,0.09*(B320-C320)/12)</f>
        <v/>
      </c>
      <c r="I320" s="13">
        <f>K319*G320/12</f>
        <v/>
      </c>
      <c r="J320" s="13">
        <f>MIN(H320,K319+I320)</f>
        <v/>
      </c>
      <c r="K320" s="13">
        <f>MAX(0,K319+I320-J320)</f>
        <v/>
      </c>
      <c r="L320" s="13">
        <f>Inputs!$B$7+IF(AND(YEAR(A320)=YEAR(Inputs!$B$9),MONTH(A320)=MONTH(Inputs!$B$9)),Inputs!$B$8,0)</f>
        <v/>
      </c>
      <c r="M320" s="13">
        <f>O319*G320/12</f>
        <v/>
      </c>
      <c r="N320" s="13">
        <f>MIN(H320+L320,O319+M320)</f>
        <v/>
      </c>
      <c r="O320" s="13">
        <f>MAX(0,O319+M320-N320)</f>
        <v/>
      </c>
    </row>
    <row r="321">
      <c r="A321" s="11" t="n">
        <v>55824</v>
      </c>
      <c r="B321" s="15">
        <f>IF(MONTH(A321)=4,B320*(1+Inputs!$B$6),B320)</f>
        <v/>
      </c>
      <c r="C321" s="15">
        <f>IF(AND(MONTH(A321)=4,YEAR(A321)&gt;=Inputs!$B$20),C320*(1+Inputs!$B$21),C320)</f>
        <v/>
      </c>
      <c r="D321" s="15">
        <f>IF(AND(MONTH(A321)=4,YEAR(A321)&gt;=Inputs!$B$20),D320*(1+Inputs!$B$21),D320)</f>
        <v/>
      </c>
      <c r="E321" s="12">
        <f>VLOOKUP(A321,Inputs!$A$53:$C$55,2,TRUE)</f>
        <v/>
      </c>
      <c r="F321" s="12">
        <f>VLOOKUP(A321,Inputs!$A$53:$C$55,3,TRUE)</f>
        <v/>
      </c>
      <c r="G321" s="12">
        <f>MIN(F321,E321+0.03*MAX(0,MIN(1,(B321-C321)/(D321-C321))))</f>
        <v/>
      </c>
      <c r="H321" s="13">
        <f>MAX(0,0.09*(B321-C321)/12)</f>
        <v/>
      </c>
      <c r="I321" s="13">
        <f>K320*G321/12</f>
        <v/>
      </c>
      <c r="J321" s="13">
        <f>MIN(H321,K320+I321)</f>
        <v/>
      </c>
      <c r="K321" s="13">
        <f>MAX(0,K320+I321-J321)</f>
        <v/>
      </c>
      <c r="L321" s="13">
        <f>Inputs!$B$7+IF(AND(YEAR(A321)=YEAR(Inputs!$B$9),MONTH(A321)=MONTH(Inputs!$B$9)),Inputs!$B$8,0)</f>
        <v/>
      </c>
      <c r="M321" s="13">
        <f>O320*G321/12</f>
        <v/>
      </c>
      <c r="N321" s="13">
        <f>MIN(H321+L321,O320+M321)</f>
        <v/>
      </c>
      <c r="O321" s="13">
        <f>MAX(0,O320+M321-N321)</f>
        <v/>
      </c>
    </row>
    <row r="322">
      <c r="A322" s="11" t="n">
        <v>55854</v>
      </c>
      <c r="B322" s="15">
        <f>IF(MONTH(A322)=4,B321*(1+Inputs!$B$6),B321)</f>
        <v/>
      </c>
      <c r="C322" s="15">
        <f>IF(AND(MONTH(A322)=4,YEAR(A322)&gt;=Inputs!$B$20),C321*(1+Inputs!$B$21),C321)</f>
        <v/>
      </c>
      <c r="D322" s="15">
        <f>IF(AND(MONTH(A322)=4,YEAR(A322)&gt;=Inputs!$B$20),D321*(1+Inputs!$B$21),D321)</f>
        <v/>
      </c>
      <c r="E322" s="12">
        <f>VLOOKUP(A322,Inputs!$A$53:$C$55,2,TRUE)</f>
        <v/>
      </c>
      <c r="F322" s="12">
        <f>VLOOKUP(A322,Inputs!$A$53:$C$55,3,TRUE)</f>
        <v/>
      </c>
      <c r="G322" s="12">
        <f>MIN(F322,E322+0.03*MAX(0,MIN(1,(B322-C322)/(D322-C322))))</f>
        <v/>
      </c>
      <c r="H322" s="13">
        <f>MAX(0,0.09*(B322-C322)/12)</f>
        <v/>
      </c>
      <c r="I322" s="13">
        <f>K321*G322/12</f>
        <v/>
      </c>
      <c r="J322" s="13">
        <f>MIN(H322,K321+I322)</f>
        <v/>
      </c>
      <c r="K322" s="13">
        <f>MAX(0,K321+I322-J322)</f>
        <v/>
      </c>
      <c r="L322" s="13">
        <f>Inputs!$B$7+IF(AND(YEAR(A322)=YEAR(Inputs!$B$9),MONTH(A322)=MONTH(Inputs!$B$9)),Inputs!$B$8,0)</f>
        <v/>
      </c>
      <c r="M322" s="13">
        <f>O321*G322/12</f>
        <v/>
      </c>
      <c r="N322" s="13">
        <f>MIN(H322+L322,O321+M322)</f>
        <v/>
      </c>
      <c r="O322" s="13">
        <f>MAX(0,O321+M322-N322)</f>
        <v/>
      </c>
    </row>
    <row r="323">
      <c r="A323" s="11" t="n">
        <v>55885</v>
      </c>
      <c r="B323" s="15">
        <f>IF(MONTH(A323)=4,B322*(1+Inputs!$B$6),B322)</f>
        <v/>
      </c>
      <c r="C323" s="15">
        <f>IF(AND(MONTH(A323)=4,YEAR(A323)&gt;=Inputs!$B$20),C322*(1+Inputs!$B$21),C322)</f>
        <v/>
      </c>
      <c r="D323" s="15">
        <f>IF(AND(MONTH(A323)=4,YEAR(A323)&gt;=Inputs!$B$20),D322*(1+Inputs!$B$21),D322)</f>
        <v/>
      </c>
      <c r="E323" s="12">
        <f>VLOOKUP(A323,Inputs!$A$53:$C$55,2,TRUE)</f>
        <v/>
      </c>
      <c r="F323" s="12">
        <f>VLOOKUP(A323,Inputs!$A$53:$C$55,3,TRUE)</f>
        <v/>
      </c>
      <c r="G323" s="12">
        <f>MIN(F323,E323+0.03*MAX(0,MIN(1,(B323-C323)/(D323-C323))))</f>
        <v/>
      </c>
      <c r="H323" s="13">
        <f>MAX(0,0.09*(B323-C323)/12)</f>
        <v/>
      </c>
      <c r="I323" s="13">
        <f>K322*G323/12</f>
        <v/>
      </c>
      <c r="J323" s="13">
        <f>MIN(H323,K322+I323)</f>
        <v/>
      </c>
      <c r="K323" s="13">
        <f>MAX(0,K322+I323-J323)</f>
        <v/>
      </c>
      <c r="L323" s="13">
        <f>Inputs!$B$7+IF(AND(YEAR(A323)=YEAR(Inputs!$B$9),MONTH(A323)=MONTH(Inputs!$B$9)),Inputs!$B$8,0)</f>
        <v/>
      </c>
      <c r="M323" s="13">
        <f>O322*G323/12</f>
        <v/>
      </c>
      <c r="N323" s="13">
        <f>MIN(H323+L323,O322+M323)</f>
        <v/>
      </c>
      <c r="O323" s="13">
        <f>MAX(0,O322+M323-N323)</f>
        <v/>
      </c>
    </row>
    <row r="324">
      <c r="A324" s="11" t="n">
        <v>55916</v>
      </c>
      <c r="B324" s="15">
        <f>IF(MONTH(A324)=4,B323*(1+Inputs!$B$6),B323)</f>
        <v/>
      </c>
      <c r="C324" s="15">
        <f>IF(AND(MONTH(A324)=4,YEAR(A324)&gt;=Inputs!$B$20),C323*(1+Inputs!$B$21),C323)</f>
        <v/>
      </c>
      <c r="D324" s="15">
        <f>IF(AND(MONTH(A324)=4,YEAR(A324)&gt;=Inputs!$B$20),D323*(1+Inputs!$B$21),D323)</f>
        <v/>
      </c>
      <c r="E324" s="12">
        <f>VLOOKUP(A324,Inputs!$A$53:$C$55,2,TRUE)</f>
        <v/>
      </c>
      <c r="F324" s="12">
        <f>VLOOKUP(A324,Inputs!$A$53:$C$55,3,TRUE)</f>
        <v/>
      </c>
      <c r="G324" s="12">
        <f>MIN(F324,E324+0.03*MAX(0,MIN(1,(B324-C324)/(D324-C324))))</f>
        <v/>
      </c>
      <c r="H324" s="13">
        <f>MAX(0,0.09*(B324-C324)/12)</f>
        <v/>
      </c>
      <c r="I324" s="13">
        <f>K323*G324/12</f>
        <v/>
      </c>
      <c r="J324" s="13">
        <f>MIN(H324,K323+I324)</f>
        <v/>
      </c>
      <c r="K324" s="13">
        <f>MAX(0,K323+I324-J324)</f>
        <v/>
      </c>
      <c r="L324" s="13">
        <f>Inputs!$B$7+IF(AND(YEAR(A324)=YEAR(Inputs!$B$9),MONTH(A324)=MONTH(Inputs!$B$9)),Inputs!$B$8,0)</f>
        <v/>
      </c>
      <c r="M324" s="13">
        <f>O323*G324/12</f>
        <v/>
      </c>
      <c r="N324" s="13">
        <f>MIN(H324+L324,O323+M324)</f>
        <v/>
      </c>
      <c r="O324" s="13">
        <f>MAX(0,O323+M324-N324)</f>
        <v/>
      </c>
    </row>
    <row r="325">
      <c r="A325" s="11" t="n">
        <v>55944</v>
      </c>
      <c r="B325" s="15">
        <f>IF(MONTH(A325)=4,B324*(1+Inputs!$B$6),B324)</f>
        <v/>
      </c>
      <c r="C325" s="15">
        <f>IF(AND(MONTH(A325)=4,YEAR(A325)&gt;=Inputs!$B$20),C324*(1+Inputs!$B$21),C324)</f>
        <v/>
      </c>
      <c r="D325" s="15">
        <f>IF(AND(MONTH(A325)=4,YEAR(A325)&gt;=Inputs!$B$20),D324*(1+Inputs!$B$21),D324)</f>
        <v/>
      </c>
      <c r="E325" s="12">
        <f>VLOOKUP(A325,Inputs!$A$53:$C$55,2,TRUE)</f>
        <v/>
      </c>
      <c r="F325" s="12">
        <f>VLOOKUP(A325,Inputs!$A$53:$C$55,3,TRUE)</f>
        <v/>
      </c>
      <c r="G325" s="12">
        <f>MIN(F325,E325+0.03*MAX(0,MIN(1,(B325-C325)/(D325-C325))))</f>
        <v/>
      </c>
      <c r="H325" s="13">
        <f>MAX(0,0.09*(B325-C325)/12)</f>
        <v/>
      </c>
      <c r="I325" s="13">
        <f>K324*G325/12</f>
        <v/>
      </c>
      <c r="J325" s="13">
        <f>MIN(H325,K324+I325)</f>
        <v/>
      </c>
      <c r="K325" s="13">
        <f>MAX(0,K324+I325-J325)</f>
        <v/>
      </c>
      <c r="L325" s="13">
        <f>Inputs!$B$7+IF(AND(YEAR(A325)=YEAR(Inputs!$B$9),MONTH(A325)=MONTH(Inputs!$B$9)),Inputs!$B$8,0)</f>
        <v/>
      </c>
      <c r="M325" s="13">
        <f>O324*G325/12</f>
        <v/>
      </c>
      <c r="N325" s="13">
        <f>MIN(H325+L325,O324+M325)</f>
        <v/>
      </c>
      <c r="O325" s="13">
        <f>MAX(0,O324+M325-N325)</f>
        <v/>
      </c>
    </row>
    <row r="326">
      <c r="A326" s="11" t="n">
        <v>55975</v>
      </c>
      <c r="B326" s="15">
        <f>IF(MONTH(A326)=4,B325*(1+Inputs!$B$6),B325)</f>
        <v/>
      </c>
      <c r="C326" s="15">
        <f>IF(AND(MONTH(A326)=4,YEAR(A326)&gt;=Inputs!$B$20),C325*(1+Inputs!$B$21),C325)</f>
        <v/>
      </c>
      <c r="D326" s="15">
        <f>IF(AND(MONTH(A326)=4,YEAR(A326)&gt;=Inputs!$B$20),D325*(1+Inputs!$B$21),D325)</f>
        <v/>
      </c>
      <c r="E326" s="12">
        <f>VLOOKUP(A326,Inputs!$A$53:$C$55,2,TRUE)</f>
        <v/>
      </c>
      <c r="F326" s="12">
        <f>VLOOKUP(A326,Inputs!$A$53:$C$55,3,TRUE)</f>
        <v/>
      </c>
      <c r="G326" s="12">
        <f>MIN(F326,E326+0.03*MAX(0,MIN(1,(B326-C326)/(D326-C326))))</f>
        <v/>
      </c>
      <c r="H326" s="13">
        <f>MAX(0,0.09*(B326-C326)/12)</f>
        <v/>
      </c>
      <c r="I326" s="13">
        <f>K325*G326/12</f>
        <v/>
      </c>
      <c r="J326" s="13">
        <f>MIN(H326,K325+I326)</f>
        <v/>
      </c>
      <c r="K326" s="13">
        <f>MAX(0,K325+I326-J326)</f>
        <v/>
      </c>
      <c r="L326" s="13">
        <f>Inputs!$B$7+IF(AND(YEAR(A326)=YEAR(Inputs!$B$9),MONTH(A326)=MONTH(Inputs!$B$9)),Inputs!$B$8,0)</f>
        <v/>
      </c>
      <c r="M326" s="13">
        <f>O325*G326/12</f>
        <v/>
      </c>
      <c r="N326" s="13">
        <f>MIN(H326+L326,O325+M326)</f>
        <v/>
      </c>
      <c r="O326" s="13">
        <f>MAX(0,O325+M326-N326)</f>
        <v/>
      </c>
    </row>
    <row r="327">
      <c r="A327" s="11" t="n">
        <v>56005</v>
      </c>
      <c r="B327" s="15">
        <f>IF(MONTH(A327)=4,B326*(1+Inputs!$B$6),B326)</f>
        <v/>
      </c>
      <c r="C327" s="15">
        <f>IF(AND(MONTH(A327)=4,YEAR(A327)&gt;=Inputs!$B$20),C326*(1+Inputs!$B$21),C326)</f>
        <v/>
      </c>
      <c r="D327" s="15">
        <f>IF(AND(MONTH(A327)=4,YEAR(A327)&gt;=Inputs!$B$20),D326*(1+Inputs!$B$21),D326)</f>
        <v/>
      </c>
      <c r="E327" s="12">
        <f>VLOOKUP(A327,Inputs!$A$53:$C$55,2,TRUE)</f>
        <v/>
      </c>
      <c r="F327" s="12">
        <f>VLOOKUP(A327,Inputs!$A$53:$C$55,3,TRUE)</f>
        <v/>
      </c>
      <c r="G327" s="12">
        <f>MIN(F327,E327+0.03*MAX(0,MIN(1,(B327-C327)/(D327-C327))))</f>
        <v/>
      </c>
      <c r="H327" s="13">
        <f>MAX(0,0.09*(B327-C327)/12)</f>
        <v/>
      </c>
      <c r="I327" s="13">
        <f>K326*G327/12</f>
        <v/>
      </c>
      <c r="J327" s="13">
        <f>MIN(H327,K326+I327)</f>
        <v/>
      </c>
      <c r="K327" s="13">
        <f>MAX(0,K326+I327-J327)</f>
        <v/>
      </c>
      <c r="L327" s="13">
        <f>Inputs!$B$7+IF(AND(YEAR(A327)=YEAR(Inputs!$B$9),MONTH(A327)=MONTH(Inputs!$B$9)),Inputs!$B$8,0)</f>
        <v/>
      </c>
      <c r="M327" s="13">
        <f>O326*G327/12</f>
        <v/>
      </c>
      <c r="N327" s="13">
        <f>MIN(H327+L327,O326+M327)</f>
        <v/>
      </c>
      <c r="O327" s="13">
        <f>MAX(0,O326+M327-N327)</f>
        <v/>
      </c>
    </row>
    <row r="328">
      <c r="A328" s="11" t="n">
        <v>56036</v>
      </c>
      <c r="B328" s="15">
        <f>IF(MONTH(A328)=4,B327*(1+Inputs!$B$6),B327)</f>
        <v/>
      </c>
      <c r="C328" s="15">
        <f>IF(AND(MONTH(A328)=4,YEAR(A328)&gt;=Inputs!$B$20),C327*(1+Inputs!$B$21),C327)</f>
        <v/>
      </c>
      <c r="D328" s="15">
        <f>IF(AND(MONTH(A328)=4,YEAR(A328)&gt;=Inputs!$B$20),D327*(1+Inputs!$B$21),D327)</f>
        <v/>
      </c>
      <c r="E328" s="12">
        <f>VLOOKUP(A328,Inputs!$A$53:$C$55,2,TRUE)</f>
        <v/>
      </c>
      <c r="F328" s="12">
        <f>VLOOKUP(A328,Inputs!$A$53:$C$55,3,TRUE)</f>
        <v/>
      </c>
      <c r="G328" s="12">
        <f>MIN(F328,E328+0.03*MAX(0,MIN(1,(B328-C328)/(D328-C328))))</f>
        <v/>
      </c>
      <c r="H328" s="13">
        <f>MAX(0,0.09*(B328-C328)/12)</f>
        <v/>
      </c>
      <c r="I328" s="13">
        <f>K327*G328/12</f>
        <v/>
      </c>
      <c r="J328" s="13">
        <f>MIN(H328,K327+I328)</f>
        <v/>
      </c>
      <c r="K328" s="13">
        <f>MAX(0,K327+I328-J328)</f>
        <v/>
      </c>
      <c r="L328" s="13">
        <f>Inputs!$B$7+IF(AND(YEAR(A328)=YEAR(Inputs!$B$9),MONTH(A328)=MONTH(Inputs!$B$9)),Inputs!$B$8,0)</f>
        <v/>
      </c>
      <c r="M328" s="13">
        <f>O327*G328/12</f>
        <v/>
      </c>
      <c r="N328" s="13">
        <f>MIN(H328+L328,O327+M328)</f>
        <v/>
      </c>
      <c r="O328" s="13">
        <f>MAX(0,O327+M328-N328)</f>
        <v/>
      </c>
    </row>
    <row r="329">
      <c r="A329" s="11" t="n">
        <v>56066</v>
      </c>
      <c r="B329" s="15">
        <f>IF(MONTH(A329)=4,B328*(1+Inputs!$B$6),B328)</f>
        <v/>
      </c>
      <c r="C329" s="15">
        <f>IF(AND(MONTH(A329)=4,YEAR(A329)&gt;=Inputs!$B$20),C328*(1+Inputs!$B$21),C328)</f>
        <v/>
      </c>
      <c r="D329" s="15">
        <f>IF(AND(MONTH(A329)=4,YEAR(A329)&gt;=Inputs!$B$20),D328*(1+Inputs!$B$21),D328)</f>
        <v/>
      </c>
      <c r="E329" s="12">
        <f>VLOOKUP(A329,Inputs!$A$53:$C$55,2,TRUE)</f>
        <v/>
      </c>
      <c r="F329" s="12">
        <f>VLOOKUP(A329,Inputs!$A$53:$C$55,3,TRUE)</f>
        <v/>
      </c>
      <c r="G329" s="12">
        <f>MIN(F329,E329+0.03*MAX(0,MIN(1,(B329-C329)/(D329-C329))))</f>
        <v/>
      </c>
      <c r="H329" s="13">
        <f>MAX(0,0.09*(B329-C329)/12)</f>
        <v/>
      </c>
      <c r="I329" s="13">
        <f>K328*G329/12</f>
        <v/>
      </c>
      <c r="J329" s="13">
        <f>MIN(H329,K328+I329)</f>
        <v/>
      </c>
      <c r="K329" s="13">
        <f>MAX(0,K328+I329-J329)</f>
        <v/>
      </c>
      <c r="L329" s="13">
        <f>Inputs!$B$7+IF(AND(YEAR(A329)=YEAR(Inputs!$B$9),MONTH(A329)=MONTH(Inputs!$B$9)),Inputs!$B$8,0)</f>
        <v/>
      </c>
      <c r="M329" s="13">
        <f>O328*G329/12</f>
        <v/>
      </c>
      <c r="N329" s="13">
        <f>MIN(H329+L329,O328+M329)</f>
        <v/>
      </c>
      <c r="O329" s="13">
        <f>MAX(0,O328+M329-N329)</f>
        <v/>
      </c>
    </row>
    <row r="330">
      <c r="A330" s="11" t="n">
        <v>56097</v>
      </c>
      <c r="B330" s="15">
        <f>IF(MONTH(A330)=4,B329*(1+Inputs!$B$6),B329)</f>
        <v/>
      </c>
      <c r="C330" s="15">
        <f>IF(AND(MONTH(A330)=4,YEAR(A330)&gt;=Inputs!$B$20),C329*(1+Inputs!$B$21),C329)</f>
        <v/>
      </c>
      <c r="D330" s="15">
        <f>IF(AND(MONTH(A330)=4,YEAR(A330)&gt;=Inputs!$B$20),D329*(1+Inputs!$B$21),D329)</f>
        <v/>
      </c>
      <c r="E330" s="12">
        <f>VLOOKUP(A330,Inputs!$A$53:$C$55,2,TRUE)</f>
        <v/>
      </c>
      <c r="F330" s="12">
        <f>VLOOKUP(A330,Inputs!$A$53:$C$55,3,TRUE)</f>
        <v/>
      </c>
      <c r="G330" s="12">
        <f>MIN(F330,E330+0.03*MAX(0,MIN(1,(B330-C330)/(D330-C330))))</f>
        <v/>
      </c>
      <c r="H330" s="13">
        <f>MAX(0,0.09*(B330-C330)/12)</f>
        <v/>
      </c>
      <c r="I330" s="13">
        <f>K329*G330/12</f>
        <v/>
      </c>
      <c r="J330" s="13">
        <f>MIN(H330,K329+I330)</f>
        <v/>
      </c>
      <c r="K330" s="13">
        <f>MAX(0,K329+I330-J330)</f>
        <v/>
      </c>
      <c r="L330" s="13">
        <f>Inputs!$B$7+IF(AND(YEAR(A330)=YEAR(Inputs!$B$9),MONTH(A330)=MONTH(Inputs!$B$9)),Inputs!$B$8,0)</f>
        <v/>
      </c>
      <c r="M330" s="13">
        <f>O329*G330/12</f>
        <v/>
      </c>
      <c r="N330" s="13">
        <f>MIN(H330+L330,O329+M330)</f>
        <v/>
      </c>
      <c r="O330" s="13">
        <f>MAX(0,O329+M330-N330)</f>
        <v/>
      </c>
    </row>
    <row r="331">
      <c r="A331" s="11" t="n">
        <v>56128</v>
      </c>
      <c r="B331" s="15">
        <f>IF(MONTH(A331)=4,B330*(1+Inputs!$B$6),B330)</f>
        <v/>
      </c>
      <c r="C331" s="15">
        <f>IF(AND(MONTH(A331)=4,YEAR(A331)&gt;=Inputs!$B$20),C330*(1+Inputs!$B$21),C330)</f>
        <v/>
      </c>
      <c r="D331" s="15">
        <f>IF(AND(MONTH(A331)=4,YEAR(A331)&gt;=Inputs!$B$20),D330*(1+Inputs!$B$21),D330)</f>
        <v/>
      </c>
      <c r="E331" s="12">
        <f>VLOOKUP(A331,Inputs!$A$53:$C$55,2,TRUE)</f>
        <v/>
      </c>
      <c r="F331" s="12">
        <f>VLOOKUP(A331,Inputs!$A$53:$C$55,3,TRUE)</f>
        <v/>
      </c>
      <c r="G331" s="12">
        <f>MIN(F331,E331+0.03*MAX(0,MIN(1,(B331-C331)/(D331-C331))))</f>
        <v/>
      </c>
      <c r="H331" s="13">
        <f>MAX(0,0.09*(B331-C331)/12)</f>
        <v/>
      </c>
      <c r="I331" s="13">
        <f>K330*G331/12</f>
        <v/>
      </c>
      <c r="J331" s="13">
        <f>MIN(H331,K330+I331)</f>
        <v/>
      </c>
      <c r="K331" s="13">
        <f>MAX(0,K330+I331-J331)</f>
        <v/>
      </c>
      <c r="L331" s="13">
        <f>Inputs!$B$7+IF(AND(YEAR(A331)=YEAR(Inputs!$B$9),MONTH(A331)=MONTH(Inputs!$B$9)),Inputs!$B$8,0)</f>
        <v/>
      </c>
      <c r="M331" s="13">
        <f>O330*G331/12</f>
        <v/>
      </c>
      <c r="N331" s="13">
        <f>MIN(H331+L331,O330+M331)</f>
        <v/>
      </c>
      <c r="O331" s="13">
        <f>MAX(0,O330+M331-N331)</f>
        <v/>
      </c>
    </row>
    <row r="332">
      <c r="A332" s="11" t="n">
        <v>56158</v>
      </c>
      <c r="B332" s="15">
        <f>IF(MONTH(A332)=4,B331*(1+Inputs!$B$6),B331)</f>
        <v/>
      </c>
      <c r="C332" s="15">
        <f>IF(AND(MONTH(A332)=4,YEAR(A332)&gt;=Inputs!$B$20),C331*(1+Inputs!$B$21),C331)</f>
        <v/>
      </c>
      <c r="D332" s="15">
        <f>IF(AND(MONTH(A332)=4,YEAR(A332)&gt;=Inputs!$B$20),D331*(1+Inputs!$B$21),D331)</f>
        <v/>
      </c>
      <c r="E332" s="12">
        <f>VLOOKUP(A332,Inputs!$A$53:$C$55,2,TRUE)</f>
        <v/>
      </c>
      <c r="F332" s="12">
        <f>VLOOKUP(A332,Inputs!$A$53:$C$55,3,TRUE)</f>
        <v/>
      </c>
      <c r="G332" s="12">
        <f>MIN(F332,E332+0.03*MAX(0,MIN(1,(B332-C332)/(D332-C332))))</f>
        <v/>
      </c>
      <c r="H332" s="13">
        <f>MAX(0,0.09*(B332-C332)/12)</f>
        <v/>
      </c>
      <c r="I332" s="13">
        <f>K331*G332/12</f>
        <v/>
      </c>
      <c r="J332" s="13">
        <f>MIN(H332,K331+I332)</f>
        <v/>
      </c>
      <c r="K332" s="13">
        <f>MAX(0,K331+I332-J332)</f>
        <v/>
      </c>
      <c r="L332" s="13">
        <f>Inputs!$B$7+IF(AND(YEAR(A332)=YEAR(Inputs!$B$9),MONTH(A332)=MONTH(Inputs!$B$9)),Inputs!$B$8,0)</f>
        <v/>
      </c>
      <c r="M332" s="13">
        <f>O331*G332/12</f>
        <v/>
      </c>
      <c r="N332" s="13">
        <f>MIN(H332+L332,O331+M332)</f>
        <v/>
      </c>
      <c r="O332" s="13">
        <f>MAX(0,O331+M332-N332)</f>
        <v/>
      </c>
    </row>
    <row r="333">
      <c r="A333" s="11" t="n">
        <v>56189</v>
      </c>
      <c r="B333" s="15">
        <f>IF(MONTH(A333)=4,B332*(1+Inputs!$B$6),B332)</f>
        <v/>
      </c>
      <c r="C333" s="15">
        <f>IF(AND(MONTH(A333)=4,YEAR(A333)&gt;=Inputs!$B$20),C332*(1+Inputs!$B$21),C332)</f>
        <v/>
      </c>
      <c r="D333" s="15">
        <f>IF(AND(MONTH(A333)=4,YEAR(A333)&gt;=Inputs!$B$20),D332*(1+Inputs!$B$21),D332)</f>
        <v/>
      </c>
      <c r="E333" s="12">
        <f>VLOOKUP(A333,Inputs!$A$53:$C$55,2,TRUE)</f>
        <v/>
      </c>
      <c r="F333" s="12">
        <f>VLOOKUP(A333,Inputs!$A$53:$C$55,3,TRUE)</f>
        <v/>
      </c>
      <c r="G333" s="12">
        <f>MIN(F333,E333+0.03*MAX(0,MIN(1,(B333-C333)/(D333-C333))))</f>
        <v/>
      </c>
      <c r="H333" s="13">
        <f>MAX(0,0.09*(B333-C333)/12)</f>
        <v/>
      </c>
      <c r="I333" s="13">
        <f>K332*G333/12</f>
        <v/>
      </c>
      <c r="J333" s="13">
        <f>MIN(H333,K332+I333)</f>
        <v/>
      </c>
      <c r="K333" s="13">
        <f>MAX(0,K332+I333-J333)</f>
        <v/>
      </c>
      <c r="L333" s="13">
        <f>Inputs!$B$7+IF(AND(YEAR(A333)=YEAR(Inputs!$B$9),MONTH(A333)=MONTH(Inputs!$B$9)),Inputs!$B$8,0)</f>
        <v/>
      </c>
      <c r="M333" s="13">
        <f>O332*G333/12</f>
        <v/>
      </c>
      <c r="N333" s="13">
        <f>MIN(H333+L333,O332+M333)</f>
        <v/>
      </c>
      <c r="O333" s="13">
        <f>MAX(0,O332+M333-N333)</f>
        <v/>
      </c>
    </row>
    <row r="334">
      <c r="A334" s="11" t="n">
        <v>56219</v>
      </c>
      <c r="B334" s="15">
        <f>IF(MONTH(A334)=4,B333*(1+Inputs!$B$6),B333)</f>
        <v/>
      </c>
      <c r="C334" s="15">
        <f>IF(AND(MONTH(A334)=4,YEAR(A334)&gt;=Inputs!$B$20),C333*(1+Inputs!$B$21),C333)</f>
        <v/>
      </c>
      <c r="D334" s="15">
        <f>IF(AND(MONTH(A334)=4,YEAR(A334)&gt;=Inputs!$B$20),D333*(1+Inputs!$B$21),D333)</f>
        <v/>
      </c>
      <c r="E334" s="12">
        <f>VLOOKUP(A334,Inputs!$A$53:$C$55,2,TRUE)</f>
        <v/>
      </c>
      <c r="F334" s="12">
        <f>VLOOKUP(A334,Inputs!$A$53:$C$55,3,TRUE)</f>
        <v/>
      </c>
      <c r="G334" s="12">
        <f>MIN(F334,E334+0.03*MAX(0,MIN(1,(B334-C334)/(D334-C334))))</f>
        <v/>
      </c>
      <c r="H334" s="13">
        <f>MAX(0,0.09*(B334-C334)/12)</f>
        <v/>
      </c>
      <c r="I334" s="13">
        <f>K333*G334/12</f>
        <v/>
      </c>
      <c r="J334" s="13">
        <f>MIN(H334,K333+I334)</f>
        <v/>
      </c>
      <c r="K334" s="13">
        <f>MAX(0,K333+I334-J334)</f>
        <v/>
      </c>
      <c r="L334" s="13">
        <f>Inputs!$B$7+IF(AND(YEAR(A334)=YEAR(Inputs!$B$9),MONTH(A334)=MONTH(Inputs!$B$9)),Inputs!$B$8,0)</f>
        <v/>
      </c>
      <c r="M334" s="13">
        <f>O333*G334/12</f>
        <v/>
      </c>
      <c r="N334" s="13">
        <f>MIN(H334+L334,O333+M334)</f>
        <v/>
      </c>
      <c r="O334" s="13">
        <f>MAX(0,O333+M334-N334)</f>
        <v/>
      </c>
    </row>
    <row r="335">
      <c r="A335" s="11" t="n">
        <v>56250</v>
      </c>
      <c r="B335" s="15">
        <f>IF(MONTH(A335)=4,B334*(1+Inputs!$B$6),B334)</f>
        <v/>
      </c>
      <c r="C335" s="15">
        <f>IF(AND(MONTH(A335)=4,YEAR(A335)&gt;=Inputs!$B$20),C334*(1+Inputs!$B$21),C334)</f>
        <v/>
      </c>
      <c r="D335" s="15">
        <f>IF(AND(MONTH(A335)=4,YEAR(A335)&gt;=Inputs!$B$20),D334*(1+Inputs!$B$21),D334)</f>
        <v/>
      </c>
      <c r="E335" s="12">
        <f>VLOOKUP(A335,Inputs!$A$53:$C$55,2,TRUE)</f>
        <v/>
      </c>
      <c r="F335" s="12">
        <f>VLOOKUP(A335,Inputs!$A$53:$C$55,3,TRUE)</f>
        <v/>
      </c>
      <c r="G335" s="12">
        <f>MIN(F335,E335+0.03*MAX(0,MIN(1,(B335-C335)/(D335-C335))))</f>
        <v/>
      </c>
      <c r="H335" s="13">
        <f>MAX(0,0.09*(B335-C335)/12)</f>
        <v/>
      </c>
      <c r="I335" s="13">
        <f>K334*G335/12</f>
        <v/>
      </c>
      <c r="J335" s="13">
        <f>MIN(H335,K334+I335)</f>
        <v/>
      </c>
      <c r="K335" s="13">
        <f>MAX(0,K334+I335-J335)</f>
        <v/>
      </c>
      <c r="L335" s="13">
        <f>Inputs!$B$7+IF(AND(YEAR(A335)=YEAR(Inputs!$B$9),MONTH(A335)=MONTH(Inputs!$B$9)),Inputs!$B$8,0)</f>
        <v/>
      </c>
      <c r="M335" s="13">
        <f>O334*G335/12</f>
        <v/>
      </c>
      <c r="N335" s="13">
        <f>MIN(H335+L335,O334+M335)</f>
        <v/>
      </c>
      <c r="O335" s="13">
        <f>MAX(0,O334+M335-N335)</f>
        <v/>
      </c>
    </row>
    <row r="336">
      <c r="A336" s="11" t="n">
        <v>56281</v>
      </c>
      <c r="B336" s="15">
        <f>IF(MONTH(A336)=4,B335*(1+Inputs!$B$6),B335)</f>
        <v/>
      </c>
      <c r="C336" s="15">
        <f>IF(AND(MONTH(A336)=4,YEAR(A336)&gt;=Inputs!$B$20),C335*(1+Inputs!$B$21),C335)</f>
        <v/>
      </c>
      <c r="D336" s="15">
        <f>IF(AND(MONTH(A336)=4,YEAR(A336)&gt;=Inputs!$B$20),D335*(1+Inputs!$B$21),D335)</f>
        <v/>
      </c>
      <c r="E336" s="12">
        <f>VLOOKUP(A336,Inputs!$A$53:$C$55,2,TRUE)</f>
        <v/>
      </c>
      <c r="F336" s="12">
        <f>VLOOKUP(A336,Inputs!$A$53:$C$55,3,TRUE)</f>
        <v/>
      </c>
      <c r="G336" s="12">
        <f>MIN(F336,E336+0.03*MAX(0,MIN(1,(B336-C336)/(D336-C336))))</f>
        <v/>
      </c>
      <c r="H336" s="13">
        <f>MAX(0,0.09*(B336-C336)/12)</f>
        <v/>
      </c>
      <c r="I336" s="13">
        <f>K335*G336/12</f>
        <v/>
      </c>
      <c r="J336" s="13">
        <f>MIN(H336,K335+I336)</f>
        <v/>
      </c>
      <c r="K336" s="13">
        <f>MAX(0,K335+I336-J336)</f>
        <v/>
      </c>
      <c r="L336" s="13">
        <f>Inputs!$B$7+IF(AND(YEAR(A336)=YEAR(Inputs!$B$9),MONTH(A336)=MONTH(Inputs!$B$9)),Inputs!$B$8,0)</f>
        <v/>
      </c>
      <c r="M336" s="13">
        <f>O335*G336/12</f>
        <v/>
      </c>
      <c r="N336" s="13">
        <f>MIN(H336+L336,O335+M336)</f>
        <v/>
      </c>
      <c r="O336" s="13">
        <f>MAX(0,O335+M336-N336)</f>
        <v/>
      </c>
    </row>
    <row r="337">
      <c r="A337" s="11" t="n">
        <v>56309</v>
      </c>
      <c r="B337" s="15">
        <f>IF(MONTH(A337)=4,B336*(1+Inputs!$B$6),B336)</f>
        <v/>
      </c>
      <c r="C337" s="15">
        <f>IF(AND(MONTH(A337)=4,YEAR(A337)&gt;=Inputs!$B$20),C336*(1+Inputs!$B$21),C336)</f>
        <v/>
      </c>
      <c r="D337" s="15">
        <f>IF(AND(MONTH(A337)=4,YEAR(A337)&gt;=Inputs!$B$20),D336*(1+Inputs!$B$21),D336)</f>
        <v/>
      </c>
      <c r="E337" s="12">
        <f>VLOOKUP(A337,Inputs!$A$53:$C$55,2,TRUE)</f>
        <v/>
      </c>
      <c r="F337" s="12">
        <f>VLOOKUP(A337,Inputs!$A$53:$C$55,3,TRUE)</f>
        <v/>
      </c>
      <c r="G337" s="12">
        <f>MIN(F337,E337+0.03*MAX(0,MIN(1,(B337-C337)/(D337-C337))))</f>
        <v/>
      </c>
      <c r="H337" s="13">
        <f>MAX(0,0.09*(B337-C337)/12)</f>
        <v/>
      </c>
      <c r="I337" s="13">
        <f>K336*G337/12</f>
        <v/>
      </c>
      <c r="J337" s="13">
        <f>MIN(H337,K336+I337)</f>
        <v/>
      </c>
      <c r="K337" s="13">
        <f>MAX(0,K336+I337-J337)</f>
        <v/>
      </c>
      <c r="L337" s="13">
        <f>Inputs!$B$7+IF(AND(YEAR(A337)=YEAR(Inputs!$B$9),MONTH(A337)=MONTH(Inputs!$B$9)),Inputs!$B$8,0)</f>
        <v/>
      </c>
      <c r="M337" s="13">
        <f>O336*G337/12</f>
        <v/>
      </c>
      <c r="N337" s="13">
        <f>MIN(H337+L337,O336+M337)</f>
        <v/>
      </c>
      <c r="O337" s="13">
        <f>MAX(0,O336+M337-N337)</f>
        <v/>
      </c>
    </row>
    <row r="338">
      <c r="A338" s="11" t="n">
        <v>56340</v>
      </c>
      <c r="B338" s="15">
        <f>IF(MONTH(A338)=4,B337*(1+Inputs!$B$6),B337)</f>
        <v/>
      </c>
      <c r="C338" s="15">
        <f>IF(AND(MONTH(A338)=4,YEAR(A338)&gt;=Inputs!$B$20),C337*(1+Inputs!$B$21),C337)</f>
        <v/>
      </c>
      <c r="D338" s="15">
        <f>IF(AND(MONTH(A338)=4,YEAR(A338)&gt;=Inputs!$B$20),D337*(1+Inputs!$B$21),D337)</f>
        <v/>
      </c>
      <c r="E338" s="12">
        <f>VLOOKUP(A338,Inputs!$A$53:$C$55,2,TRUE)</f>
        <v/>
      </c>
      <c r="F338" s="12">
        <f>VLOOKUP(A338,Inputs!$A$53:$C$55,3,TRUE)</f>
        <v/>
      </c>
      <c r="G338" s="12">
        <f>MIN(F338,E338+0.03*MAX(0,MIN(1,(B338-C338)/(D338-C338))))</f>
        <v/>
      </c>
      <c r="H338" s="13">
        <f>MAX(0,0.09*(B338-C338)/12)</f>
        <v/>
      </c>
      <c r="I338" s="13">
        <f>K337*G338/12</f>
        <v/>
      </c>
      <c r="J338" s="13">
        <f>MIN(H338,K337+I338)</f>
        <v/>
      </c>
      <c r="K338" s="13">
        <f>MAX(0,K337+I338-J338)</f>
        <v/>
      </c>
      <c r="L338" s="13">
        <f>Inputs!$B$7+IF(AND(YEAR(A338)=YEAR(Inputs!$B$9),MONTH(A338)=MONTH(Inputs!$B$9)),Inputs!$B$8,0)</f>
        <v/>
      </c>
      <c r="M338" s="13">
        <f>O337*G338/12</f>
        <v/>
      </c>
      <c r="N338" s="13">
        <f>MIN(H338+L338,O337+M338)</f>
        <v/>
      </c>
      <c r="O338" s="13">
        <f>MAX(0,O337+M338-N338)</f>
        <v/>
      </c>
    </row>
    <row r="339">
      <c r="A339" s="11" t="n">
        <v>56370</v>
      </c>
      <c r="B339" s="15">
        <f>IF(MONTH(A339)=4,B338*(1+Inputs!$B$6),B338)</f>
        <v/>
      </c>
      <c r="C339" s="15">
        <f>IF(AND(MONTH(A339)=4,YEAR(A339)&gt;=Inputs!$B$20),C338*(1+Inputs!$B$21),C338)</f>
        <v/>
      </c>
      <c r="D339" s="15">
        <f>IF(AND(MONTH(A339)=4,YEAR(A339)&gt;=Inputs!$B$20),D338*(1+Inputs!$B$21),D338)</f>
        <v/>
      </c>
      <c r="E339" s="12">
        <f>VLOOKUP(A339,Inputs!$A$53:$C$55,2,TRUE)</f>
        <v/>
      </c>
      <c r="F339" s="12">
        <f>VLOOKUP(A339,Inputs!$A$53:$C$55,3,TRUE)</f>
        <v/>
      </c>
      <c r="G339" s="12">
        <f>MIN(F339,E339+0.03*MAX(0,MIN(1,(B339-C339)/(D339-C339))))</f>
        <v/>
      </c>
      <c r="H339" s="13">
        <f>MAX(0,0.09*(B339-C339)/12)</f>
        <v/>
      </c>
      <c r="I339" s="13">
        <f>K338*G339/12</f>
        <v/>
      </c>
      <c r="J339" s="13">
        <f>MIN(H339,K338+I339)</f>
        <v/>
      </c>
      <c r="K339" s="13">
        <f>MAX(0,K338+I339-J339)</f>
        <v/>
      </c>
      <c r="L339" s="13">
        <f>Inputs!$B$7+IF(AND(YEAR(A339)=YEAR(Inputs!$B$9),MONTH(A339)=MONTH(Inputs!$B$9)),Inputs!$B$8,0)</f>
        <v/>
      </c>
      <c r="M339" s="13">
        <f>O338*G339/12</f>
        <v/>
      </c>
      <c r="N339" s="13">
        <f>MIN(H339+L339,O338+M339)</f>
        <v/>
      </c>
      <c r="O339" s="13">
        <f>MAX(0,O338+M339-N339)</f>
        <v/>
      </c>
    </row>
    <row r="340">
      <c r="A340" s="11" t="n">
        <v>56401</v>
      </c>
      <c r="B340" s="15">
        <f>IF(MONTH(A340)=4,B339*(1+Inputs!$B$6),B339)</f>
        <v/>
      </c>
      <c r="C340" s="15">
        <f>IF(AND(MONTH(A340)=4,YEAR(A340)&gt;=Inputs!$B$20),C339*(1+Inputs!$B$21),C339)</f>
        <v/>
      </c>
      <c r="D340" s="15">
        <f>IF(AND(MONTH(A340)=4,YEAR(A340)&gt;=Inputs!$B$20),D339*(1+Inputs!$B$21),D339)</f>
        <v/>
      </c>
      <c r="E340" s="12">
        <f>VLOOKUP(A340,Inputs!$A$53:$C$55,2,TRUE)</f>
        <v/>
      </c>
      <c r="F340" s="12">
        <f>VLOOKUP(A340,Inputs!$A$53:$C$55,3,TRUE)</f>
        <v/>
      </c>
      <c r="G340" s="12">
        <f>MIN(F340,E340+0.03*MAX(0,MIN(1,(B340-C340)/(D340-C340))))</f>
        <v/>
      </c>
      <c r="H340" s="13">
        <f>MAX(0,0.09*(B340-C340)/12)</f>
        <v/>
      </c>
      <c r="I340" s="13">
        <f>K339*G340/12</f>
        <v/>
      </c>
      <c r="J340" s="13">
        <f>MIN(H340,K339+I340)</f>
        <v/>
      </c>
      <c r="K340" s="13">
        <f>MAX(0,K339+I340-J340)</f>
        <v/>
      </c>
      <c r="L340" s="13">
        <f>Inputs!$B$7+IF(AND(YEAR(A340)=YEAR(Inputs!$B$9),MONTH(A340)=MONTH(Inputs!$B$9)),Inputs!$B$8,0)</f>
        <v/>
      </c>
      <c r="M340" s="13">
        <f>O339*G340/12</f>
        <v/>
      </c>
      <c r="N340" s="13">
        <f>MIN(H340+L340,O339+M340)</f>
        <v/>
      </c>
      <c r="O340" s="13">
        <f>MAX(0,O339+M340-N340)</f>
        <v/>
      </c>
    </row>
    <row r="341">
      <c r="A341" s="11" t="n">
        <v>56431</v>
      </c>
      <c r="B341" s="15">
        <f>IF(MONTH(A341)=4,B340*(1+Inputs!$B$6),B340)</f>
        <v/>
      </c>
      <c r="C341" s="15">
        <f>IF(AND(MONTH(A341)=4,YEAR(A341)&gt;=Inputs!$B$20),C340*(1+Inputs!$B$21),C340)</f>
        <v/>
      </c>
      <c r="D341" s="15">
        <f>IF(AND(MONTH(A341)=4,YEAR(A341)&gt;=Inputs!$B$20),D340*(1+Inputs!$B$21),D340)</f>
        <v/>
      </c>
      <c r="E341" s="12">
        <f>VLOOKUP(A341,Inputs!$A$53:$C$55,2,TRUE)</f>
        <v/>
      </c>
      <c r="F341" s="12">
        <f>VLOOKUP(A341,Inputs!$A$53:$C$55,3,TRUE)</f>
        <v/>
      </c>
      <c r="G341" s="12">
        <f>MIN(F341,E341+0.03*MAX(0,MIN(1,(B341-C341)/(D341-C341))))</f>
        <v/>
      </c>
      <c r="H341" s="13">
        <f>MAX(0,0.09*(B341-C341)/12)</f>
        <v/>
      </c>
      <c r="I341" s="13">
        <f>K340*G341/12</f>
        <v/>
      </c>
      <c r="J341" s="13">
        <f>MIN(H341,K340+I341)</f>
        <v/>
      </c>
      <c r="K341" s="13">
        <f>MAX(0,K340+I341-J341)</f>
        <v/>
      </c>
      <c r="L341" s="13">
        <f>Inputs!$B$7+IF(AND(YEAR(A341)=YEAR(Inputs!$B$9),MONTH(A341)=MONTH(Inputs!$B$9)),Inputs!$B$8,0)</f>
        <v/>
      </c>
      <c r="M341" s="13">
        <f>O340*G341/12</f>
        <v/>
      </c>
      <c r="N341" s="13">
        <f>MIN(H341+L341,O340+M341)</f>
        <v/>
      </c>
      <c r="O341" s="13">
        <f>MAX(0,O340+M341-N341)</f>
        <v/>
      </c>
    </row>
    <row r="342">
      <c r="A342" s="11" t="n">
        <v>56462</v>
      </c>
      <c r="B342" s="15">
        <f>IF(MONTH(A342)=4,B341*(1+Inputs!$B$6),B341)</f>
        <v/>
      </c>
      <c r="C342" s="15">
        <f>IF(AND(MONTH(A342)=4,YEAR(A342)&gt;=Inputs!$B$20),C341*(1+Inputs!$B$21),C341)</f>
        <v/>
      </c>
      <c r="D342" s="15">
        <f>IF(AND(MONTH(A342)=4,YEAR(A342)&gt;=Inputs!$B$20),D341*(1+Inputs!$B$21),D341)</f>
        <v/>
      </c>
      <c r="E342" s="12">
        <f>VLOOKUP(A342,Inputs!$A$53:$C$55,2,TRUE)</f>
        <v/>
      </c>
      <c r="F342" s="12">
        <f>VLOOKUP(A342,Inputs!$A$53:$C$55,3,TRUE)</f>
        <v/>
      </c>
      <c r="G342" s="12">
        <f>MIN(F342,E342+0.03*MAX(0,MIN(1,(B342-C342)/(D342-C342))))</f>
        <v/>
      </c>
      <c r="H342" s="13">
        <f>MAX(0,0.09*(B342-C342)/12)</f>
        <v/>
      </c>
      <c r="I342" s="13">
        <f>K341*G342/12</f>
        <v/>
      </c>
      <c r="J342" s="13">
        <f>MIN(H342,K341+I342)</f>
        <v/>
      </c>
      <c r="K342" s="13">
        <f>MAX(0,K341+I342-J342)</f>
        <v/>
      </c>
      <c r="L342" s="13">
        <f>Inputs!$B$7+IF(AND(YEAR(A342)=YEAR(Inputs!$B$9),MONTH(A342)=MONTH(Inputs!$B$9)),Inputs!$B$8,0)</f>
        <v/>
      </c>
      <c r="M342" s="13">
        <f>O341*G342/12</f>
        <v/>
      </c>
      <c r="N342" s="13">
        <f>MIN(H342+L342,O341+M342)</f>
        <v/>
      </c>
      <c r="O342" s="13">
        <f>MAX(0,O341+M342-N342)</f>
        <v/>
      </c>
    </row>
    <row r="343">
      <c r="A343" s="11" t="n">
        <v>56493</v>
      </c>
      <c r="B343" s="15">
        <f>IF(MONTH(A343)=4,B342*(1+Inputs!$B$6),B342)</f>
        <v/>
      </c>
      <c r="C343" s="15">
        <f>IF(AND(MONTH(A343)=4,YEAR(A343)&gt;=Inputs!$B$20),C342*(1+Inputs!$B$21),C342)</f>
        <v/>
      </c>
      <c r="D343" s="15">
        <f>IF(AND(MONTH(A343)=4,YEAR(A343)&gt;=Inputs!$B$20),D342*(1+Inputs!$B$21),D342)</f>
        <v/>
      </c>
      <c r="E343" s="12">
        <f>VLOOKUP(A343,Inputs!$A$53:$C$55,2,TRUE)</f>
        <v/>
      </c>
      <c r="F343" s="12">
        <f>VLOOKUP(A343,Inputs!$A$53:$C$55,3,TRUE)</f>
        <v/>
      </c>
      <c r="G343" s="12">
        <f>MIN(F343,E343+0.03*MAX(0,MIN(1,(B343-C343)/(D343-C343))))</f>
        <v/>
      </c>
      <c r="H343" s="13">
        <f>MAX(0,0.09*(B343-C343)/12)</f>
        <v/>
      </c>
      <c r="I343" s="13">
        <f>K342*G343/12</f>
        <v/>
      </c>
      <c r="J343" s="13">
        <f>MIN(H343,K342+I343)</f>
        <v/>
      </c>
      <c r="K343" s="13">
        <f>MAX(0,K342+I343-J343)</f>
        <v/>
      </c>
      <c r="L343" s="13">
        <f>Inputs!$B$7+IF(AND(YEAR(A343)=YEAR(Inputs!$B$9),MONTH(A343)=MONTH(Inputs!$B$9)),Inputs!$B$8,0)</f>
        <v/>
      </c>
      <c r="M343" s="13">
        <f>O342*G343/12</f>
        <v/>
      </c>
      <c r="N343" s="13">
        <f>MIN(H343+L343,O342+M343)</f>
        <v/>
      </c>
      <c r="O343" s="13">
        <f>MAX(0,O342+M343-N343)</f>
        <v/>
      </c>
    </row>
    <row r="344">
      <c r="A344" s="11" t="n">
        <v>56523</v>
      </c>
      <c r="B344" s="15">
        <f>IF(MONTH(A344)=4,B343*(1+Inputs!$B$6),B343)</f>
        <v/>
      </c>
      <c r="C344" s="15">
        <f>IF(AND(MONTH(A344)=4,YEAR(A344)&gt;=Inputs!$B$20),C343*(1+Inputs!$B$21),C343)</f>
        <v/>
      </c>
      <c r="D344" s="15">
        <f>IF(AND(MONTH(A344)=4,YEAR(A344)&gt;=Inputs!$B$20),D343*(1+Inputs!$B$21),D343)</f>
        <v/>
      </c>
      <c r="E344" s="12">
        <f>VLOOKUP(A344,Inputs!$A$53:$C$55,2,TRUE)</f>
        <v/>
      </c>
      <c r="F344" s="12">
        <f>VLOOKUP(A344,Inputs!$A$53:$C$55,3,TRUE)</f>
        <v/>
      </c>
      <c r="G344" s="12">
        <f>MIN(F344,E344+0.03*MAX(0,MIN(1,(B344-C344)/(D344-C344))))</f>
        <v/>
      </c>
      <c r="H344" s="13">
        <f>MAX(0,0.09*(B344-C344)/12)</f>
        <v/>
      </c>
      <c r="I344" s="13">
        <f>K343*G344/12</f>
        <v/>
      </c>
      <c r="J344" s="13">
        <f>MIN(H344,K343+I344)</f>
        <v/>
      </c>
      <c r="K344" s="13">
        <f>MAX(0,K343+I344-J344)</f>
        <v/>
      </c>
      <c r="L344" s="13">
        <f>Inputs!$B$7+IF(AND(YEAR(A344)=YEAR(Inputs!$B$9),MONTH(A344)=MONTH(Inputs!$B$9)),Inputs!$B$8,0)</f>
        <v/>
      </c>
      <c r="M344" s="13">
        <f>O343*G344/12</f>
        <v/>
      </c>
      <c r="N344" s="13">
        <f>MIN(H344+L344,O343+M344)</f>
        <v/>
      </c>
      <c r="O344" s="13">
        <f>MAX(0,O343+M344-N344)</f>
        <v/>
      </c>
    </row>
    <row r="345">
      <c r="A345" s="11" t="n">
        <v>56554</v>
      </c>
      <c r="B345" s="15">
        <f>IF(MONTH(A345)=4,B344*(1+Inputs!$B$6),B344)</f>
        <v/>
      </c>
      <c r="C345" s="15">
        <f>IF(AND(MONTH(A345)=4,YEAR(A345)&gt;=Inputs!$B$20),C344*(1+Inputs!$B$21),C344)</f>
        <v/>
      </c>
      <c r="D345" s="15">
        <f>IF(AND(MONTH(A345)=4,YEAR(A345)&gt;=Inputs!$B$20),D344*(1+Inputs!$B$21),D344)</f>
        <v/>
      </c>
      <c r="E345" s="12">
        <f>VLOOKUP(A345,Inputs!$A$53:$C$55,2,TRUE)</f>
        <v/>
      </c>
      <c r="F345" s="12">
        <f>VLOOKUP(A345,Inputs!$A$53:$C$55,3,TRUE)</f>
        <v/>
      </c>
      <c r="G345" s="12">
        <f>MIN(F345,E345+0.03*MAX(0,MIN(1,(B345-C345)/(D345-C345))))</f>
        <v/>
      </c>
      <c r="H345" s="13">
        <f>MAX(0,0.09*(B345-C345)/12)</f>
        <v/>
      </c>
      <c r="I345" s="13">
        <f>K344*G345/12</f>
        <v/>
      </c>
      <c r="J345" s="13">
        <f>MIN(H345,K344+I345)</f>
        <v/>
      </c>
      <c r="K345" s="13">
        <f>MAX(0,K344+I345-J345)</f>
        <v/>
      </c>
      <c r="L345" s="13">
        <f>Inputs!$B$7+IF(AND(YEAR(A345)=YEAR(Inputs!$B$9),MONTH(A345)=MONTH(Inputs!$B$9)),Inputs!$B$8,0)</f>
        <v/>
      </c>
      <c r="M345" s="13">
        <f>O344*G345/12</f>
        <v/>
      </c>
      <c r="N345" s="13">
        <f>MIN(H345+L345,O344+M345)</f>
        <v/>
      </c>
      <c r="O345" s="13">
        <f>MAX(0,O344+M345-N345)</f>
        <v/>
      </c>
    </row>
    <row r="346">
      <c r="A346" s="11" t="n">
        <v>56584</v>
      </c>
      <c r="B346" s="15">
        <f>IF(MONTH(A346)=4,B345*(1+Inputs!$B$6),B345)</f>
        <v/>
      </c>
      <c r="C346" s="15">
        <f>IF(AND(MONTH(A346)=4,YEAR(A346)&gt;=Inputs!$B$20),C345*(1+Inputs!$B$21),C345)</f>
        <v/>
      </c>
      <c r="D346" s="15">
        <f>IF(AND(MONTH(A346)=4,YEAR(A346)&gt;=Inputs!$B$20),D345*(1+Inputs!$B$21),D345)</f>
        <v/>
      </c>
      <c r="E346" s="12">
        <f>VLOOKUP(A346,Inputs!$A$53:$C$55,2,TRUE)</f>
        <v/>
      </c>
      <c r="F346" s="12">
        <f>VLOOKUP(A346,Inputs!$A$53:$C$55,3,TRUE)</f>
        <v/>
      </c>
      <c r="G346" s="12">
        <f>MIN(F346,E346+0.03*MAX(0,MIN(1,(B346-C346)/(D346-C346))))</f>
        <v/>
      </c>
      <c r="H346" s="13">
        <f>MAX(0,0.09*(B346-C346)/12)</f>
        <v/>
      </c>
      <c r="I346" s="13">
        <f>K345*G346/12</f>
        <v/>
      </c>
      <c r="J346" s="13">
        <f>MIN(H346,K345+I346)</f>
        <v/>
      </c>
      <c r="K346" s="13">
        <f>MAX(0,K345+I346-J346)</f>
        <v/>
      </c>
      <c r="L346" s="13">
        <f>Inputs!$B$7+IF(AND(YEAR(A346)=YEAR(Inputs!$B$9),MONTH(A346)=MONTH(Inputs!$B$9)),Inputs!$B$8,0)</f>
        <v/>
      </c>
      <c r="M346" s="13">
        <f>O345*G346/12</f>
        <v/>
      </c>
      <c r="N346" s="13">
        <f>MIN(H346+L346,O345+M346)</f>
        <v/>
      </c>
      <c r="O346" s="13">
        <f>MAX(0,O345+M346-N346)</f>
        <v/>
      </c>
    </row>
    <row r="347">
      <c r="A347" s="11" t="n">
        <v>56615</v>
      </c>
      <c r="B347" s="15">
        <f>IF(MONTH(A347)=4,B346*(1+Inputs!$B$6),B346)</f>
        <v/>
      </c>
      <c r="C347" s="15">
        <f>IF(AND(MONTH(A347)=4,YEAR(A347)&gt;=Inputs!$B$20),C346*(1+Inputs!$B$21),C346)</f>
        <v/>
      </c>
      <c r="D347" s="15">
        <f>IF(AND(MONTH(A347)=4,YEAR(A347)&gt;=Inputs!$B$20),D346*(1+Inputs!$B$21),D346)</f>
        <v/>
      </c>
      <c r="E347" s="12">
        <f>VLOOKUP(A347,Inputs!$A$53:$C$55,2,TRUE)</f>
        <v/>
      </c>
      <c r="F347" s="12">
        <f>VLOOKUP(A347,Inputs!$A$53:$C$55,3,TRUE)</f>
        <v/>
      </c>
      <c r="G347" s="12">
        <f>MIN(F347,E347+0.03*MAX(0,MIN(1,(B347-C347)/(D347-C347))))</f>
        <v/>
      </c>
      <c r="H347" s="13">
        <f>MAX(0,0.09*(B347-C347)/12)</f>
        <v/>
      </c>
      <c r="I347" s="13">
        <f>K346*G347/12</f>
        <v/>
      </c>
      <c r="J347" s="13">
        <f>MIN(H347,K346+I347)</f>
        <v/>
      </c>
      <c r="K347" s="13">
        <f>MAX(0,K346+I347-J347)</f>
        <v/>
      </c>
      <c r="L347" s="13">
        <f>Inputs!$B$7+IF(AND(YEAR(A347)=YEAR(Inputs!$B$9),MONTH(A347)=MONTH(Inputs!$B$9)),Inputs!$B$8,0)</f>
        <v/>
      </c>
      <c r="M347" s="13">
        <f>O346*G347/12</f>
        <v/>
      </c>
      <c r="N347" s="13">
        <f>MIN(H347+L347,O346+M347)</f>
        <v/>
      </c>
      <c r="O347" s="13">
        <f>MAX(0,O346+M347-N347)</f>
        <v/>
      </c>
    </row>
    <row r="348">
      <c r="A348" s="11" t="n">
        <v>56646</v>
      </c>
      <c r="B348" s="15">
        <f>IF(MONTH(A348)=4,B347*(1+Inputs!$B$6),B347)</f>
        <v/>
      </c>
      <c r="C348" s="15">
        <f>IF(AND(MONTH(A348)=4,YEAR(A348)&gt;=Inputs!$B$20),C347*(1+Inputs!$B$21),C347)</f>
        <v/>
      </c>
      <c r="D348" s="15">
        <f>IF(AND(MONTH(A348)=4,YEAR(A348)&gt;=Inputs!$B$20),D347*(1+Inputs!$B$21),D347)</f>
        <v/>
      </c>
      <c r="E348" s="12">
        <f>VLOOKUP(A348,Inputs!$A$53:$C$55,2,TRUE)</f>
        <v/>
      </c>
      <c r="F348" s="12">
        <f>VLOOKUP(A348,Inputs!$A$53:$C$55,3,TRUE)</f>
        <v/>
      </c>
      <c r="G348" s="12">
        <f>MIN(F348,E348+0.03*MAX(0,MIN(1,(B348-C348)/(D348-C348))))</f>
        <v/>
      </c>
      <c r="H348" s="13">
        <f>MAX(0,0.09*(B348-C348)/12)</f>
        <v/>
      </c>
      <c r="I348" s="13">
        <f>K347*G348/12</f>
        <v/>
      </c>
      <c r="J348" s="13">
        <f>MIN(H348,K347+I348)</f>
        <v/>
      </c>
      <c r="K348" s="13">
        <f>MAX(0,K347+I348-J348)</f>
        <v/>
      </c>
      <c r="L348" s="13">
        <f>Inputs!$B$7+IF(AND(YEAR(A348)=YEAR(Inputs!$B$9),MONTH(A348)=MONTH(Inputs!$B$9)),Inputs!$B$8,0)</f>
        <v/>
      </c>
      <c r="M348" s="13">
        <f>O347*G348/12</f>
        <v/>
      </c>
      <c r="N348" s="13">
        <f>MIN(H348+L348,O347+M348)</f>
        <v/>
      </c>
      <c r="O348" s="13">
        <f>MAX(0,O347+M348-N348)</f>
        <v/>
      </c>
    </row>
    <row r="349">
      <c r="A349" s="11" t="n">
        <v>56674</v>
      </c>
      <c r="B349" s="15">
        <f>IF(MONTH(A349)=4,B348*(1+Inputs!$B$6),B348)</f>
        <v/>
      </c>
      <c r="C349" s="15">
        <f>IF(AND(MONTH(A349)=4,YEAR(A349)&gt;=Inputs!$B$20),C348*(1+Inputs!$B$21),C348)</f>
        <v/>
      </c>
      <c r="D349" s="15">
        <f>IF(AND(MONTH(A349)=4,YEAR(A349)&gt;=Inputs!$B$20),D348*(1+Inputs!$B$21),D348)</f>
        <v/>
      </c>
      <c r="E349" s="12">
        <f>VLOOKUP(A349,Inputs!$A$53:$C$55,2,TRUE)</f>
        <v/>
      </c>
      <c r="F349" s="12">
        <f>VLOOKUP(A349,Inputs!$A$53:$C$55,3,TRUE)</f>
        <v/>
      </c>
      <c r="G349" s="12">
        <f>MIN(F349,E349+0.03*MAX(0,MIN(1,(B349-C349)/(D349-C349))))</f>
        <v/>
      </c>
      <c r="H349" s="13">
        <f>MAX(0,0.09*(B349-C349)/12)</f>
        <v/>
      </c>
      <c r="I349" s="13">
        <f>K348*G349/12</f>
        <v/>
      </c>
      <c r="J349" s="13">
        <f>MIN(H349,K348+I349)</f>
        <v/>
      </c>
      <c r="K349" s="13">
        <f>MAX(0,K348+I349-J349)</f>
        <v/>
      </c>
      <c r="L349" s="13">
        <f>Inputs!$B$7+IF(AND(YEAR(A349)=YEAR(Inputs!$B$9),MONTH(A349)=MONTH(Inputs!$B$9)),Inputs!$B$8,0)</f>
        <v/>
      </c>
      <c r="M349" s="13">
        <f>O348*G349/12</f>
        <v/>
      </c>
      <c r="N349" s="13">
        <f>MIN(H349+L349,O348+M349)</f>
        <v/>
      </c>
      <c r="O349" s="13">
        <f>MAX(0,O348+M349-N349)</f>
        <v/>
      </c>
    </row>
    <row r="350">
      <c r="A350" s="11" t="n">
        <v>56705</v>
      </c>
      <c r="B350" s="15">
        <f>IF(MONTH(A350)=4,B349*(1+Inputs!$B$6),B349)</f>
        <v/>
      </c>
      <c r="C350" s="15">
        <f>IF(AND(MONTH(A350)=4,YEAR(A350)&gt;=Inputs!$B$20),C349*(1+Inputs!$B$21),C349)</f>
        <v/>
      </c>
      <c r="D350" s="15">
        <f>IF(AND(MONTH(A350)=4,YEAR(A350)&gt;=Inputs!$B$20),D349*(1+Inputs!$B$21),D349)</f>
        <v/>
      </c>
      <c r="E350" s="12">
        <f>VLOOKUP(A350,Inputs!$A$53:$C$55,2,TRUE)</f>
        <v/>
      </c>
      <c r="F350" s="12">
        <f>VLOOKUP(A350,Inputs!$A$53:$C$55,3,TRUE)</f>
        <v/>
      </c>
      <c r="G350" s="12">
        <f>MIN(F350,E350+0.03*MAX(0,MIN(1,(B350-C350)/(D350-C350))))</f>
        <v/>
      </c>
      <c r="H350" s="13">
        <f>MAX(0,0.09*(B350-C350)/12)</f>
        <v/>
      </c>
      <c r="I350" s="13">
        <f>K349*G350/12</f>
        <v/>
      </c>
      <c r="J350" s="13">
        <f>MIN(H350,K349+I350)</f>
        <v/>
      </c>
      <c r="K350" s="13">
        <f>MAX(0,K349+I350-J350)</f>
        <v/>
      </c>
      <c r="L350" s="13">
        <f>Inputs!$B$7+IF(AND(YEAR(A350)=YEAR(Inputs!$B$9),MONTH(A350)=MONTH(Inputs!$B$9)),Inputs!$B$8,0)</f>
        <v/>
      </c>
      <c r="M350" s="13">
        <f>O349*G350/12</f>
        <v/>
      </c>
      <c r="N350" s="13">
        <f>MIN(H350+L350,O349+M350)</f>
        <v/>
      </c>
      <c r="O350" s="13">
        <f>MAX(0,O349+M350-N350)</f>
        <v/>
      </c>
    </row>
    <row r="351">
      <c r="A351" s="11" t="n">
        <v>56735</v>
      </c>
      <c r="B351" s="15">
        <f>IF(MONTH(A351)=4,B350*(1+Inputs!$B$6),B350)</f>
        <v/>
      </c>
      <c r="C351" s="15">
        <f>IF(AND(MONTH(A351)=4,YEAR(A351)&gt;=Inputs!$B$20),C350*(1+Inputs!$B$21),C350)</f>
        <v/>
      </c>
      <c r="D351" s="15">
        <f>IF(AND(MONTH(A351)=4,YEAR(A351)&gt;=Inputs!$B$20),D350*(1+Inputs!$B$21),D350)</f>
        <v/>
      </c>
      <c r="E351" s="12">
        <f>VLOOKUP(A351,Inputs!$A$53:$C$55,2,TRUE)</f>
        <v/>
      </c>
      <c r="F351" s="12">
        <f>VLOOKUP(A351,Inputs!$A$53:$C$55,3,TRUE)</f>
        <v/>
      </c>
      <c r="G351" s="12">
        <f>MIN(F351,E351+0.03*MAX(0,MIN(1,(B351-C351)/(D351-C351))))</f>
        <v/>
      </c>
      <c r="H351" s="13">
        <f>MAX(0,0.09*(B351-C351)/12)</f>
        <v/>
      </c>
      <c r="I351" s="13">
        <f>K350*G351/12</f>
        <v/>
      </c>
      <c r="J351" s="13">
        <f>MIN(H351,K350+I351)</f>
        <v/>
      </c>
      <c r="K351" s="13">
        <f>MAX(0,K350+I351-J351)</f>
        <v/>
      </c>
      <c r="L351" s="13">
        <f>Inputs!$B$7+IF(AND(YEAR(A351)=YEAR(Inputs!$B$9),MONTH(A351)=MONTH(Inputs!$B$9)),Inputs!$B$8,0)</f>
        <v/>
      </c>
      <c r="M351" s="13">
        <f>O350*G351/12</f>
        <v/>
      </c>
      <c r="N351" s="13">
        <f>MIN(H351+L351,O350+M351)</f>
        <v/>
      </c>
      <c r="O351" s="13">
        <f>MAX(0,O350+M351-N351)</f>
        <v/>
      </c>
    </row>
    <row r="352">
      <c r="A352" s="11" t="n">
        <v>56766</v>
      </c>
      <c r="B352" s="15">
        <f>IF(MONTH(A352)=4,B351*(1+Inputs!$B$6),B351)</f>
        <v/>
      </c>
      <c r="C352" s="15">
        <f>IF(AND(MONTH(A352)=4,YEAR(A352)&gt;=Inputs!$B$20),C351*(1+Inputs!$B$21),C351)</f>
        <v/>
      </c>
      <c r="D352" s="15">
        <f>IF(AND(MONTH(A352)=4,YEAR(A352)&gt;=Inputs!$B$20),D351*(1+Inputs!$B$21),D351)</f>
        <v/>
      </c>
      <c r="E352" s="12">
        <f>VLOOKUP(A352,Inputs!$A$53:$C$55,2,TRUE)</f>
        <v/>
      </c>
      <c r="F352" s="12">
        <f>VLOOKUP(A352,Inputs!$A$53:$C$55,3,TRUE)</f>
        <v/>
      </c>
      <c r="G352" s="12">
        <f>MIN(F352,E352+0.03*MAX(0,MIN(1,(B352-C352)/(D352-C352))))</f>
        <v/>
      </c>
      <c r="H352" s="13">
        <f>MAX(0,0.09*(B352-C352)/12)</f>
        <v/>
      </c>
      <c r="I352" s="13">
        <f>K351*G352/12</f>
        <v/>
      </c>
      <c r="J352" s="13">
        <f>MIN(H352,K351+I352)</f>
        <v/>
      </c>
      <c r="K352" s="13">
        <f>MAX(0,K351+I352-J352)</f>
        <v/>
      </c>
      <c r="L352" s="13">
        <f>Inputs!$B$7+IF(AND(YEAR(A352)=YEAR(Inputs!$B$9),MONTH(A352)=MONTH(Inputs!$B$9)),Inputs!$B$8,0)</f>
        <v/>
      </c>
      <c r="M352" s="13">
        <f>O351*G352/12</f>
        <v/>
      </c>
      <c r="N352" s="13">
        <f>MIN(H352+L352,O351+M352)</f>
        <v/>
      </c>
      <c r="O352" s="13">
        <f>MAX(0,O351+M352-N352)</f>
        <v/>
      </c>
    </row>
    <row r="353">
      <c r="A353" s="11" t="n">
        <v>56796</v>
      </c>
      <c r="B353" s="15">
        <f>IF(MONTH(A353)=4,B352*(1+Inputs!$B$6),B352)</f>
        <v/>
      </c>
      <c r="C353" s="15">
        <f>IF(AND(MONTH(A353)=4,YEAR(A353)&gt;=Inputs!$B$20),C352*(1+Inputs!$B$21),C352)</f>
        <v/>
      </c>
      <c r="D353" s="15">
        <f>IF(AND(MONTH(A353)=4,YEAR(A353)&gt;=Inputs!$B$20),D352*(1+Inputs!$B$21),D352)</f>
        <v/>
      </c>
      <c r="E353" s="12">
        <f>VLOOKUP(A353,Inputs!$A$53:$C$55,2,TRUE)</f>
        <v/>
      </c>
      <c r="F353" s="12">
        <f>VLOOKUP(A353,Inputs!$A$53:$C$55,3,TRUE)</f>
        <v/>
      </c>
      <c r="G353" s="12">
        <f>MIN(F353,E353+0.03*MAX(0,MIN(1,(B353-C353)/(D353-C353))))</f>
        <v/>
      </c>
      <c r="H353" s="13">
        <f>MAX(0,0.09*(B353-C353)/12)</f>
        <v/>
      </c>
      <c r="I353" s="13">
        <f>K352*G353/12</f>
        <v/>
      </c>
      <c r="J353" s="13">
        <f>MIN(H353,K352+I353)</f>
        <v/>
      </c>
      <c r="K353" s="13">
        <f>MAX(0,K352+I353-J353)</f>
        <v/>
      </c>
      <c r="L353" s="13">
        <f>Inputs!$B$7+IF(AND(YEAR(A353)=YEAR(Inputs!$B$9),MONTH(A353)=MONTH(Inputs!$B$9)),Inputs!$B$8,0)</f>
        <v/>
      </c>
      <c r="M353" s="13">
        <f>O352*G353/12</f>
        <v/>
      </c>
      <c r="N353" s="13">
        <f>MIN(H353+L353,O352+M353)</f>
        <v/>
      </c>
      <c r="O353" s="13">
        <f>MAX(0,O352+M353-N353)</f>
        <v/>
      </c>
    </row>
    <row r="354">
      <c r="A354" s="11" t="n">
        <v>56827</v>
      </c>
      <c r="B354" s="15">
        <f>IF(MONTH(A354)=4,B353*(1+Inputs!$B$6),B353)</f>
        <v/>
      </c>
      <c r="C354" s="15">
        <f>IF(AND(MONTH(A354)=4,YEAR(A354)&gt;=Inputs!$B$20),C353*(1+Inputs!$B$21),C353)</f>
        <v/>
      </c>
      <c r="D354" s="15">
        <f>IF(AND(MONTH(A354)=4,YEAR(A354)&gt;=Inputs!$B$20),D353*(1+Inputs!$B$21),D353)</f>
        <v/>
      </c>
      <c r="E354" s="12">
        <f>VLOOKUP(A354,Inputs!$A$53:$C$55,2,TRUE)</f>
        <v/>
      </c>
      <c r="F354" s="12">
        <f>VLOOKUP(A354,Inputs!$A$53:$C$55,3,TRUE)</f>
        <v/>
      </c>
      <c r="G354" s="12">
        <f>MIN(F354,E354+0.03*MAX(0,MIN(1,(B354-C354)/(D354-C354))))</f>
        <v/>
      </c>
      <c r="H354" s="13">
        <f>MAX(0,0.09*(B354-C354)/12)</f>
        <v/>
      </c>
      <c r="I354" s="13">
        <f>K353*G354/12</f>
        <v/>
      </c>
      <c r="J354" s="13">
        <f>MIN(H354,K353+I354)</f>
        <v/>
      </c>
      <c r="K354" s="13">
        <f>MAX(0,K353+I354-J354)</f>
        <v/>
      </c>
      <c r="L354" s="13">
        <f>Inputs!$B$7+IF(AND(YEAR(A354)=YEAR(Inputs!$B$9),MONTH(A354)=MONTH(Inputs!$B$9)),Inputs!$B$8,0)</f>
        <v/>
      </c>
      <c r="M354" s="13">
        <f>O353*G354/12</f>
        <v/>
      </c>
      <c r="N354" s="13">
        <f>MIN(H354+L354,O353+M354)</f>
        <v/>
      </c>
      <c r="O354" s="13">
        <f>MAX(0,O353+M354-N354)</f>
        <v/>
      </c>
    </row>
    <row r="355">
      <c r="A355" s="11" t="n">
        <v>56858</v>
      </c>
      <c r="B355" s="15">
        <f>IF(MONTH(A355)=4,B354*(1+Inputs!$B$6),B354)</f>
        <v/>
      </c>
      <c r="C355" s="15">
        <f>IF(AND(MONTH(A355)=4,YEAR(A355)&gt;=Inputs!$B$20),C354*(1+Inputs!$B$21),C354)</f>
        <v/>
      </c>
      <c r="D355" s="15">
        <f>IF(AND(MONTH(A355)=4,YEAR(A355)&gt;=Inputs!$B$20),D354*(1+Inputs!$B$21),D354)</f>
        <v/>
      </c>
      <c r="E355" s="12">
        <f>VLOOKUP(A355,Inputs!$A$53:$C$55,2,TRUE)</f>
        <v/>
      </c>
      <c r="F355" s="12">
        <f>VLOOKUP(A355,Inputs!$A$53:$C$55,3,TRUE)</f>
        <v/>
      </c>
      <c r="G355" s="12">
        <f>MIN(F355,E355+0.03*MAX(0,MIN(1,(B355-C355)/(D355-C355))))</f>
        <v/>
      </c>
      <c r="H355" s="13">
        <f>MAX(0,0.09*(B355-C355)/12)</f>
        <v/>
      </c>
      <c r="I355" s="13">
        <f>K354*G355/12</f>
        <v/>
      </c>
      <c r="J355" s="13">
        <f>MIN(H355,K354+I355)</f>
        <v/>
      </c>
      <c r="K355" s="13">
        <f>MAX(0,K354+I355-J355)</f>
        <v/>
      </c>
      <c r="L355" s="13">
        <f>Inputs!$B$7+IF(AND(YEAR(A355)=YEAR(Inputs!$B$9),MONTH(A355)=MONTH(Inputs!$B$9)),Inputs!$B$8,0)</f>
        <v/>
      </c>
      <c r="M355" s="13">
        <f>O354*G355/12</f>
        <v/>
      </c>
      <c r="N355" s="13">
        <f>MIN(H355+L355,O354+M355)</f>
        <v/>
      </c>
      <c r="O355" s="13">
        <f>MAX(0,O354+M355-N355)</f>
        <v/>
      </c>
    </row>
    <row r="356">
      <c r="A356" s="11" t="n">
        <v>56888</v>
      </c>
      <c r="B356" s="15">
        <f>IF(MONTH(A356)=4,B355*(1+Inputs!$B$6),B355)</f>
        <v/>
      </c>
      <c r="C356" s="15">
        <f>IF(AND(MONTH(A356)=4,YEAR(A356)&gt;=Inputs!$B$20),C355*(1+Inputs!$B$21),C355)</f>
        <v/>
      </c>
      <c r="D356" s="15">
        <f>IF(AND(MONTH(A356)=4,YEAR(A356)&gt;=Inputs!$B$20),D355*(1+Inputs!$B$21),D355)</f>
        <v/>
      </c>
      <c r="E356" s="12">
        <f>VLOOKUP(A356,Inputs!$A$53:$C$55,2,TRUE)</f>
        <v/>
      </c>
      <c r="F356" s="12">
        <f>VLOOKUP(A356,Inputs!$A$53:$C$55,3,TRUE)</f>
        <v/>
      </c>
      <c r="G356" s="12">
        <f>MIN(F356,E356+0.03*MAX(0,MIN(1,(B356-C356)/(D356-C356))))</f>
        <v/>
      </c>
      <c r="H356" s="13">
        <f>MAX(0,0.09*(B356-C356)/12)</f>
        <v/>
      </c>
      <c r="I356" s="13">
        <f>K355*G356/12</f>
        <v/>
      </c>
      <c r="J356" s="13">
        <f>MIN(H356,K355+I356)</f>
        <v/>
      </c>
      <c r="K356" s="13">
        <f>MAX(0,K355+I356-J356)</f>
        <v/>
      </c>
      <c r="L356" s="13">
        <f>Inputs!$B$7+IF(AND(YEAR(A356)=YEAR(Inputs!$B$9),MONTH(A356)=MONTH(Inputs!$B$9)),Inputs!$B$8,0)</f>
        <v/>
      </c>
      <c r="M356" s="13">
        <f>O355*G356/12</f>
        <v/>
      </c>
      <c r="N356" s="13">
        <f>MIN(H356+L356,O355+M356)</f>
        <v/>
      </c>
      <c r="O356" s="13">
        <f>MAX(0,O355+M356-N356)</f>
        <v/>
      </c>
    </row>
    <row r="357">
      <c r="A357" s="11" t="n">
        <v>56919</v>
      </c>
      <c r="B357" s="15">
        <f>IF(MONTH(A357)=4,B356*(1+Inputs!$B$6),B356)</f>
        <v/>
      </c>
      <c r="C357" s="15">
        <f>IF(AND(MONTH(A357)=4,YEAR(A357)&gt;=Inputs!$B$20),C356*(1+Inputs!$B$21),C356)</f>
        <v/>
      </c>
      <c r="D357" s="15">
        <f>IF(AND(MONTH(A357)=4,YEAR(A357)&gt;=Inputs!$B$20),D356*(1+Inputs!$B$21),D356)</f>
        <v/>
      </c>
      <c r="E357" s="12">
        <f>VLOOKUP(A357,Inputs!$A$53:$C$55,2,TRUE)</f>
        <v/>
      </c>
      <c r="F357" s="12">
        <f>VLOOKUP(A357,Inputs!$A$53:$C$55,3,TRUE)</f>
        <v/>
      </c>
      <c r="G357" s="12">
        <f>MIN(F357,E357+0.03*MAX(0,MIN(1,(B357-C357)/(D357-C357))))</f>
        <v/>
      </c>
      <c r="H357" s="13">
        <f>MAX(0,0.09*(B357-C357)/12)</f>
        <v/>
      </c>
      <c r="I357" s="13">
        <f>K356*G357/12</f>
        <v/>
      </c>
      <c r="J357" s="13">
        <f>MIN(H357,K356+I357)</f>
        <v/>
      </c>
      <c r="K357" s="13">
        <f>MAX(0,K356+I357-J357)</f>
        <v/>
      </c>
      <c r="L357" s="13">
        <f>Inputs!$B$7+IF(AND(YEAR(A357)=YEAR(Inputs!$B$9),MONTH(A357)=MONTH(Inputs!$B$9)),Inputs!$B$8,0)</f>
        <v/>
      </c>
      <c r="M357" s="13">
        <f>O356*G357/12</f>
        <v/>
      </c>
      <c r="N357" s="13">
        <f>MIN(H357+L357,O356+M357)</f>
        <v/>
      </c>
      <c r="O357" s="13">
        <f>MAX(0,O356+M357-N357)</f>
        <v/>
      </c>
    </row>
    <row r="358">
      <c r="A358" s="11" t="n">
        <v>56949</v>
      </c>
      <c r="B358" s="15">
        <f>IF(MONTH(A358)=4,B357*(1+Inputs!$B$6),B357)</f>
        <v/>
      </c>
      <c r="C358" s="15">
        <f>IF(AND(MONTH(A358)=4,YEAR(A358)&gt;=Inputs!$B$20),C357*(1+Inputs!$B$21),C357)</f>
        <v/>
      </c>
      <c r="D358" s="15">
        <f>IF(AND(MONTH(A358)=4,YEAR(A358)&gt;=Inputs!$B$20),D357*(1+Inputs!$B$21),D357)</f>
        <v/>
      </c>
      <c r="E358" s="12">
        <f>VLOOKUP(A358,Inputs!$A$53:$C$55,2,TRUE)</f>
        <v/>
      </c>
      <c r="F358" s="12">
        <f>VLOOKUP(A358,Inputs!$A$53:$C$55,3,TRUE)</f>
        <v/>
      </c>
      <c r="G358" s="12">
        <f>MIN(F358,E358+0.03*MAX(0,MIN(1,(B358-C358)/(D358-C358))))</f>
        <v/>
      </c>
      <c r="H358" s="13">
        <f>MAX(0,0.09*(B358-C358)/12)</f>
        <v/>
      </c>
      <c r="I358" s="13">
        <f>K357*G358/12</f>
        <v/>
      </c>
      <c r="J358" s="13">
        <f>MIN(H358,K357+I358)</f>
        <v/>
      </c>
      <c r="K358" s="13">
        <f>MAX(0,K357+I358-J358)</f>
        <v/>
      </c>
      <c r="L358" s="13">
        <f>Inputs!$B$7+IF(AND(YEAR(A358)=YEAR(Inputs!$B$9),MONTH(A358)=MONTH(Inputs!$B$9)),Inputs!$B$8,0)</f>
        <v/>
      </c>
      <c r="M358" s="13">
        <f>O357*G358/12</f>
        <v/>
      </c>
      <c r="N358" s="13">
        <f>MIN(H358+L358,O357+M358)</f>
        <v/>
      </c>
      <c r="O358" s="13">
        <f>MAX(0,O357+M358-N358)</f>
        <v/>
      </c>
    </row>
    <row r="359">
      <c r="A359" s="11" t="n">
        <v>56980</v>
      </c>
      <c r="B359" s="15">
        <f>IF(MONTH(A359)=4,B358*(1+Inputs!$B$6),B358)</f>
        <v/>
      </c>
      <c r="C359" s="15">
        <f>IF(AND(MONTH(A359)=4,YEAR(A359)&gt;=Inputs!$B$20),C358*(1+Inputs!$B$21),C358)</f>
        <v/>
      </c>
      <c r="D359" s="15">
        <f>IF(AND(MONTH(A359)=4,YEAR(A359)&gt;=Inputs!$B$20),D358*(1+Inputs!$B$21),D358)</f>
        <v/>
      </c>
      <c r="E359" s="12">
        <f>VLOOKUP(A359,Inputs!$A$53:$C$55,2,TRUE)</f>
        <v/>
      </c>
      <c r="F359" s="12">
        <f>VLOOKUP(A359,Inputs!$A$53:$C$55,3,TRUE)</f>
        <v/>
      </c>
      <c r="G359" s="12">
        <f>MIN(F359,E359+0.03*MAX(0,MIN(1,(B359-C359)/(D359-C359))))</f>
        <v/>
      </c>
      <c r="H359" s="13">
        <f>MAX(0,0.09*(B359-C359)/12)</f>
        <v/>
      </c>
      <c r="I359" s="13">
        <f>K358*G359/12</f>
        <v/>
      </c>
      <c r="J359" s="13">
        <f>MIN(H359,K358+I359)</f>
        <v/>
      </c>
      <c r="K359" s="13">
        <f>MAX(0,K358+I359-J359)</f>
        <v/>
      </c>
      <c r="L359" s="13">
        <f>Inputs!$B$7+IF(AND(YEAR(A359)=YEAR(Inputs!$B$9),MONTH(A359)=MONTH(Inputs!$B$9)),Inputs!$B$8,0)</f>
        <v/>
      </c>
      <c r="M359" s="13">
        <f>O358*G359/12</f>
        <v/>
      </c>
      <c r="N359" s="13">
        <f>MIN(H359+L359,O358+M359)</f>
        <v/>
      </c>
      <c r="O359" s="13">
        <f>MAX(0,O358+M359-N359)</f>
        <v/>
      </c>
    </row>
    <row r="360">
      <c r="A360" s="11" t="n">
        <v>57011</v>
      </c>
      <c r="B360" s="15">
        <f>IF(MONTH(A360)=4,B359*(1+Inputs!$B$6),B359)</f>
        <v/>
      </c>
      <c r="C360" s="15">
        <f>IF(AND(MONTH(A360)=4,YEAR(A360)&gt;=Inputs!$B$20),C359*(1+Inputs!$B$21),C359)</f>
        <v/>
      </c>
      <c r="D360" s="15">
        <f>IF(AND(MONTH(A360)=4,YEAR(A360)&gt;=Inputs!$B$20),D359*(1+Inputs!$B$21),D359)</f>
        <v/>
      </c>
      <c r="E360" s="12">
        <f>VLOOKUP(A360,Inputs!$A$53:$C$55,2,TRUE)</f>
        <v/>
      </c>
      <c r="F360" s="12">
        <f>VLOOKUP(A360,Inputs!$A$53:$C$55,3,TRUE)</f>
        <v/>
      </c>
      <c r="G360" s="12">
        <f>MIN(F360,E360+0.03*MAX(0,MIN(1,(B360-C360)/(D360-C360))))</f>
        <v/>
      </c>
      <c r="H360" s="13">
        <f>MAX(0,0.09*(B360-C360)/12)</f>
        <v/>
      </c>
      <c r="I360" s="13">
        <f>K359*G360/12</f>
        <v/>
      </c>
      <c r="J360" s="13">
        <f>MIN(H360,K359+I360)</f>
        <v/>
      </c>
      <c r="K360" s="13">
        <f>MAX(0,K359+I360-J360)</f>
        <v/>
      </c>
      <c r="L360" s="13">
        <f>Inputs!$B$7+IF(AND(YEAR(A360)=YEAR(Inputs!$B$9),MONTH(A360)=MONTH(Inputs!$B$9)),Inputs!$B$8,0)</f>
        <v/>
      </c>
      <c r="M360" s="13">
        <f>O359*G360/12</f>
        <v/>
      </c>
      <c r="N360" s="13">
        <f>MIN(H360+L360,O359+M360)</f>
        <v/>
      </c>
      <c r="O360" s="13">
        <f>MAX(0,O359+M360-N360)</f>
        <v/>
      </c>
    </row>
    <row r="361">
      <c r="A361" s="11" t="n">
        <v>57040</v>
      </c>
      <c r="B361" s="15">
        <f>IF(MONTH(A361)=4,B360*(1+Inputs!$B$6),B360)</f>
        <v/>
      </c>
      <c r="C361" s="15">
        <f>IF(AND(MONTH(A361)=4,YEAR(A361)&gt;=Inputs!$B$20),C360*(1+Inputs!$B$21),C360)</f>
        <v/>
      </c>
      <c r="D361" s="15">
        <f>IF(AND(MONTH(A361)=4,YEAR(A361)&gt;=Inputs!$B$20),D360*(1+Inputs!$B$21),D360)</f>
        <v/>
      </c>
      <c r="E361" s="12">
        <f>VLOOKUP(A361,Inputs!$A$53:$C$55,2,TRUE)</f>
        <v/>
      </c>
      <c r="F361" s="12">
        <f>VLOOKUP(A361,Inputs!$A$53:$C$55,3,TRUE)</f>
        <v/>
      </c>
      <c r="G361" s="12">
        <f>MIN(F361,E361+0.03*MAX(0,MIN(1,(B361-C361)/(D361-C361))))</f>
        <v/>
      </c>
      <c r="H361" s="13">
        <f>MAX(0,0.09*(B361-C361)/12)</f>
        <v/>
      </c>
      <c r="I361" s="13">
        <f>K360*G361/12</f>
        <v/>
      </c>
      <c r="J361" s="13">
        <f>MIN(H361,K360+I361)</f>
        <v/>
      </c>
      <c r="K361" s="13">
        <f>MAX(0,K360+I361-J361)</f>
        <v/>
      </c>
      <c r="L361" s="13">
        <f>Inputs!$B$7+IF(AND(YEAR(A361)=YEAR(Inputs!$B$9),MONTH(A361)=MONTH(Inputs!$B$9)),Inputs!$B$8,0)</f>
        <v/>
      </c>
      <c r="M361" s="13">
        <f>O360*G361/12</f>
        <v/>
      </c>
      <c r="N361" s="13">
        <f>MIN(H361+L361,O360+M361)</f>
        <v/>
      </c>
      <c r="O361" s="13">
        <f>MAX(0,O360+M361-N361)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0" customWidth="1" min="4" max="4"/>
  </cols>
  <sheetData>
    <row r="1">
      <c r="A1" s="1" t="inlineStr">
        <is>
          <t>Summary</t>
        </is>
      </c>
    </row>
    <row r="2">
      <c r="A2" s="2" t="inlineStr">
        <is>
          <t>All figures recalculate from the Inputs sheet.</t>
        </is>
      </c>
    </row>
    <row r="4">
      <c r="A4" t="inlineStr">
        <is>
          <t>Total borrowed 2021–2025</t>
        </is>
      </c>
      <c r="B4" s="10">
        <f>Inputs!D29</f>
        <v/>
      </c>
    </row>
    <row r="5">
      <c r="A5" t="inlineStr">
        <is>
          <t>Balance at April 2026 (repayments start)</t>
        </is>
      </c>
      <c r="B5" s="10">
        <f>IF(N(Inputs!B10)&gt;0,Inputs!B10,'Loan build-up'!E56)</f>
        <v/>
      </c>
      <c r="C5" s="2" t="inlineStr">
        <is>
          <t>Uses your SLC override if entered on Inputs, else the reconstruction.</t>
        </is>
      </c>
    </row>
    <row r="6">
      <c r="A6" t="inlineStr">
        <is>
          <t>Interest added while studying</t>
        </is>
      </c>
      <c r="B6" s="15">
        <f>SUM('Loan build-up'!D2:D56)</f>
        <v/>
      </c>
    </row>
    <row r="7">
      <c r="A7" t="inlineStr">
        <is>
          <t>First mandatory payment (£/month)</t>
        </is>
      </c>
      <c r="B7" s="13">
        <f>Projection!H2</f>
        <v/>
      </c>
    </row>
    <row r="9">
      <c r="A9" s="3" t="inlineStr">
        <is>
          <t>The two scenarios (April 2026 → April 2056 write-off)</t>
        </is>
      </c>
    </row>
    <row r="10">
      <c r="B10" s="8" t="inlineStr">
        <is>
          <t>Mandatory only</t>
        </is>
      </c>
      <c r="C10" s="8" t="inlineStr">
        <is>
          <t>With overpayments</t>
        </is>
      </c>
    </row>
    <row r="11">
      <c r="A11" t="inlineStr">
        <is>
          <t>Paid off in</t>
        </is>
      </c>
      <c r="B11">
        <f>IFERROR(TEXT(INDEX(Projection!$A$2:$A$361,MATCH(0,Projection!$K$2:$K$361,0)),"mmm yyyy"),"Never — written off Apr 2056")</f>
        <v/>
      </c>
      <c r="C11">
        <f>IFERROR(TEXT(INDEX(Projection!$A$2:$A$361,MATCH(0,Projection!$O$2:$O$361,0)),"mmm yyyy"),"Never — written off Apr 2056")</f>
        <v/>
      </c>
    </row>
    <row r="12">
      <c r="A12" t="inlineStr">
        <is>
          <t>Total you pay</t>
        </is>
      </c>
      <c r="B12" s="15">
        <f>SUM(Projection!J2:J361)</f>
        <v/>
      </c>
      <c r="C12" s="15">
        <f>SUM(Projection!N2:N361)</f>
        <v/>
      </c>
    </row>
    <row r="13">
      <c r="A13" t="inlineStr">
        <is>
          <t>Interest charged after uni</t>
        </is>
      </c>
      <c r="B13" s="15">
        <f>SUM(Projection!I2:I361)</f>
        <v/>
      </c>
      <c r="C13" s="15">
        <f>SUM(Projection!M2:M361)</f>
        <v/>
      </c>
    </row>
    <row r="14">
      <c r="A14" t="inlineStr">
        <is>
          <t>Written off at April 2056</t>
        </is>
      </c>
      <c r="B14" s="15">
        <f>Projection!K361</f>
        <v/>
      </c>
      <c r="C14" s="15">
        <f>Projection!O361</f>
        <v/>
      </c>
    </row>
    <row r="16">
      <c r="A16" s="9" t="inlineStr">
        <is>
          <t>Overpaying changes your total cost by</t>
        </is>
      </c>
      <c r="B16" s="10">
        <f>C12-B12</f>
        <v/>
      </c>
      <c r="C16" s="2" t="inlineStr">
        <is>
          <t>Negative = overpaying saves you money overall; positive = you pay more in total than just waiting for the write-off.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2026-07-30T09:10:31Z</dcterms:created>
  <dcterms:modified xmlns:dcterms="http://purl.org/dc/terms/" xmlns:xsi="http://www.w3.org/2001/XMLSchema-instance" xsi:type="dcterms:W3CDTF">2026-07-30T09:10:31Z</dcterms:modified>
</cp:coreProperties>
</file>